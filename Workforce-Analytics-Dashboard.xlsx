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https://ictae-my.sharepoint.com/personal/cs_agent_05_ict_ae/Documents/Desktop/Data Analysis Course/Dashboard For All session/"/>
    </mc:Choice>
  </mc:AlternateContent>
  <xr:revisionPtr revIDLastSave="332" documentId="8_{008D1294-18F4-40AA-97C8-B51209230014}" xr6:coauthVersionLast="47" xr6:coauthVersionMax="47" xr10:uidLastSave="{FC316F2E-0DCF-40AD-A3B1-88C90267ECBE}"/>
  <bookViews>
    <workbookView xWindow="-110" yWindow="-110" windowWidth="19420" windowHeight="10420" firstSheet="2" activeTab="2" xr2:uid="{8687EB24-93F9-4450-B2ED-7A9FAA6AD556}"/>
  </bookViews>
  <sheets>
    <sheet name="Emp table" sheetId="2" r:id="rId1"/>
    <sheet name="Analysis" sheetId="10" r:id="rId2"/>
    <sheet name="First Dashboard Project" sheetId="14" r:id="rId3"/>
    <sheet name="Empolyees in each country " sheetId="4" state="hidden" r:id="rId4"/>
    <sheet name="Monthly Salary" sheetId="5" state="hidden" r:id="rId5"/>
    <sheet name="Annual Salary" sheetId="6" state="hidden" r:id="rId6"/>
    <sheet name="Unpaid,Sick leaves" sheetId="7" state="hidden" r:id="rId7"/>
    <sheet name="Over Time Hours " sheetId="8" state="hidden" r:id="rId8"/>
  </sheets>
  <definedNames>
    <definedName name="_xlcn.WorksheetConnection_PowerQueryLession1.xlsxmmmm1" hidden="1">mmmm[]</definedName>
    <definedName name="ExternalData_1" localSheetId="0" hidden="1">'Emp table'!$A$1:$P$690</definedName>
    <definedName name="_xlnm.Print_Area" localSheetId="2">'First Dashboard Project'!$A$1:$AH$45</definedName>
    <definedName name="Slicer_Country">#N/A</definedName>
    <definedName name="Slicer_Department">#N/A</definedName>
    <definedName name="Slicer_ID">#N/A</definedName>
  </definedNames>
  <calcPr calcId="191028"/>
  <pivotCaches>
    <pivotCache cacheId="127" r:id="rId9"/>
    <pivotCache cacheId="128" r:id="rId10"/>
    <pivotCache cacheId="129" r:id="rId11"/>
    <pivotCache cacheId="130" r:id="rId12"/>
    <pivotCache cacheId="131" r:id="rId13"/>
    <pivotCache cacheId="132" r:id="rId14"/>
    <pivotCache cacheId="133" r:id="rId15"/>
    <pivotCache cacheId="134" r:id="rId16"/>
    <pivotCache cacheId="135" r:id="rId17"/>
    <pivotCache cacheId="136" r:id="rId18"/>
    <pivotCache cacheId="137" r:id="rId19"/>
    <pivotCache cacheId="138" r:id="rId20"/>
    <pivotCache cacheId="139" r:id="rId21"/>
    <pivotCache cacheId="140" r:id="rId22"/>
    <pivotCache cacheId="141" r:id="rId23"/>
    <pivotCache cacheId="142" r:id="rId24"/>
    <pivotCache cacheId="143" r:id="rId25"/>
    <pivotCache cacheId="144" r:id="rId26"/>
  </pivotCaches>
  <extLst>
    <ext xmlns:x14="http://schemas.microsoft.com/office/spreadsheetml/2009/9/main" uri="{876F7934-8845-4945-9796-88D515C7AA90}">
      <x14:pivotCaches>
        <pivotCache cacheId="145" r:id="rId27"/>
        <pivotCache cacheId="146" r:id="rId28"/>
      </x14:pivotCaches>
    </ext>
    <ext xmlns:x14="http://schemas.microsoft.com/office/spreadsheetml/2009/9/main" uri="{BBE1A952-AA13-448e-AADC-164F8A28A991}">
      <x14:slicerCaches>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mmm" name="mmmm" connection="WorksheetConnection_Power Query- Lession 1.xlsx!mmmm"/>
        </x15:modelTables>
        <x15:extLst>
          <ext xmlns:x16="http://schemas.microsoft.com/office/spreadsheetml/2014/11/main" uri="{9835A34E-60A6-4A7C-AAB8-D5F71C897F49}">
            <x16:modelTimeGroupings>
              <x16:modelTimeGrouping tableName="mmmm" columnName="Start Date" columnId="Start Date">
                <x16:calculatedTimeColumn columnName="Start Date (Year)" columnId="Start Date (Year)" contentType="years" isSelected="1"/>
                <x16:calculatedTimeColumn columnName="Start Date (Quarter)" columnId="Start Date (Quarter)" contentType="quarters" isSelected="1"/>
                <x16:calculatedTimeColumn columnName="Start Date (Month Index)" columnId="Start Date (Month Index)" contentType="monthsindex" isSelected="1"/>
                <x16:calculatedTimeColumn columnName="Start Date (Month)" columnId="Star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48" i="10" l="1"/>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K735" i="10"/>
  <c r="H28" i="10"/>
  <c r="B740" i="10"/>
  <c r="D733" i="10"/>
  <c r="G33" i="10"/>
  <c r="F726" i="10"/>
  <c r="F45" i="10"/>
  <c r="C32" i="10"/>
  <c r="C36" i="10"/>
  <c r="N721"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AFE679-D241-46B6-A942-BBA79E878DBA}" keepAlive="1" name="Query - mmmm" description="Connection to the 'mmmm' query in the workbook." type="5" refreshedVersion="8" background="1" saveData="1">
    <dbPr connection="Provider=Microsoft.Mashup.OleDb.1;Data Source=$Workbook$;Location=mmmm;Extended Properties=&quot;&quot;" command="SELECT * FROM [mmmm]"/>
  </connection>
  <connection id="2" xr16:uid="{01A23DAC-DC85-4284-9335-5D4A0111C72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A42803B-2CA8-45D0-9DD8-B2E06462C0C4}" name="WorksheetConnection_Power Query- Lession 1.xlsx!mmmm" type="102" refreshedVersion="8" minRefreshableVersion="5">
    <extLst>
      <ext xmlns:x15="http://schemas.microsoft.com/office/spreadsheetml/2010/11/main" uri="{DE250136-89BD-433C-8126-D09CA5730AF9}">
        <x15:connection id="mmmm">
          <x15:rangePr sourceName="_xlcn.WorksheetConnection_PowerQueryLession1.xlsxmmmm1"/>
        </x15:connection>
      </ext>
    </extLst>
  </connection>
</connections>
</file>

<file path=xl/sharedStrings.xml><?xml version="1.0" encoding="utf-8"?>
<sst xmlns="http://schemas.openxmlformats.org/spreadsheetml/2006/main" count="5189" uniqueCount="1594">
  <si>
    <t>ID</t>
  </si>
  <si>
    <t>First Name</t>
  </si>
  <si>
    <t>Last Name</t>
  </si>
  <si>
    <t>Empolyee name</t>
  </si>
  <si>
    <t>Gender</t>
  </si>
  <si>
    <t>Start Date</t>
  </si>
  <si>
    <t>Years</t>
  </si>
  <si>
    <t>Department</t>
  </si>
  <si>
    <t>Country</t>
  </si>
  <si>
    <t>Center</t>
  </si>
  <si>
    <t>Monthly Salary</t>
  </si>
  <si>
    <t>Annual Salary</t>
  </si>
  <si>
    <t>Job Rate</t>
  </si>
  <si>
    <t>Sick Leaves</t>
  </si>
  <si>
    <t>Unpaid Leaves</t>
  </si>
  <si>
    <t>Overtime Hours</t>
  </si>
  <si>
    <t>Ghadir</t>
  </si>
  <si>
    <t>Hmshw</t>
  </si>
  <si>
    <t>Male</t>
  </si>
  <si>
    <t>Quality Control</t>
  </si>
  <si>
    <t>Egypt</t>
  </si>
  <si>
    <t>West</t>
  </si>
  <si>
    <t>Omar</t>
  </si>
  <si>
    <t>Hishan</t>
  </si>
  <si>
    <t>Saudi Arabia</t>
  </si>
  <si>
    <t>Ailya</t>
  </si>
  <si>
    <t>Sharaf</t>
  </si>
  <si>
    <t>Female</t>
  </si>
  <si>
    <t>Major Mfg Projects</t>
  </si>
  <si>
    <t>Lwiy</t>
  </si>
  <si>
    <t>Qbany</t>
  </si>
  <si>
    <t>Manufacturing</t>
  </si>
  <si>
    <t>United Arab Emirates</t>
  </si>
  <si>
    <t>Main</t>
  </si>
  <si>
    <t>Ahmad</t>
  </si>
  <si>
    <t>Bikri</t>
  </si>
  <si>
    <t>Muhamad</t>
  </si>
  <si>
    <t>Zueitr</t>
  </si>
  <si>
    <t>Product Development</t>
  </si>
  <si>
    <t>North</t>
  </si>
  <si>
    <t>Iin</t>
  </si>
  <si>
    <t>Alhalaliu</t>
  </si>
  <si>
    <t>Sales</t>
  </si>
  <si>
    <t>Alaya</t>
  </si>
  <si>
    <t>Account Management</t>
  </si>
  <si>
    <t>Susin</t>
  </si>
  <si>
    <t>Almilat</t>
  </si>
  <si>
    <t>Green Building</t>
  </si>
  <si>
    <t>Alrifaei</t>
  </si>
  <si>
    <t>Alqadah</t>
  </si>
  <si>
    <t>Syria</t>
  </si>
  <si>
    <t>Iad</t>
  </si>
  <si>
    <t>IT</t>
  </si>
  <si>
    <t>Razaan</t>
  </si>
  <si>
    <t>Nasif</t>
  </si>
  <si>
    <t>Facilities/Engineering</t>
  </si>
  <si>
    <t>Iilian</t>
  </si>
  <si>
    <t>Dbs</t>
  </si>
  <si>
    <t>Bayan</t>
  </si>
  <si>
    <t>Qdw</t>
  </si>
  <si>
    <t>Marketing</t>
  </si>
  <si>
    <t>Alaa</t>
  </si>
  <si>
    <t>South</t>
  </si>
  <si>
    <t>Sandra</t>
  </si>
  <si>
    <t>Aljurmqaniu</t>
  </si>
  <si>
    <t>Farahad</t>
  </si>
  <si>
    <t>Husayn</t>
  </si>
  <si>
    <t>Ahed</t>
  </si>
  <si>
    <t>Salim</t>
  </si>
  <si>
    <t>Ayham</t>
  </si>
  <si>
    <t>Tutwnji</t>
  </si>
  <si>
    <t>Samir</t>
  </si>
  <si>
    <t>Alsafdi</t>
  </si>
  <si>
    <t>Bilal</t>
  </si>
  <si>
    <t>Jalal</t>
  </si>
  <si>
    <t>Manufacturing Admin</t>
  </si>
  <si>
    <t>Riad</t>
  </si>
  <si>
    <t>Sahalul</t>
  </si>
  <si>
    <t>Training</t>
  </si>
  <si>
    <t>Quality Assurance</t>
  </si>
  <si>
    <t>Altarah</t>
  </si>
  <si>
    <t>Lwna</t>
  </si>
  <si>
    <t>Abu</t>
  </si>
  <si>
    <t>Almuluhi</t>
  </si>
  <si>
    <t>Rana</t>
  </si>
  <si>
    <t>Mius</t>
  </si>
  <si>
    <t>Lina</t>
  </si>
  <si>
    <t>Aljabaan</t>
  </si>
  <si>
    <t>Rami</t>
  </si>
  <si>
    <t>Shanan</t>
  </si>
  <si>
    <t>Professional Training Group</t>
  </si>
  <si>
    <t>Eala</t>
  </si>
  <si>
    <t>Alhaj</t>
  </si>
  <si>
    <t>Ghalib</t>
  </si>
  <si>
    <t>Zakianiin</t>
  </si>
  <si>
    <t>Environmental Compliance</t>
  </si>
  <si>
    <t>Eurul</t>
  </si>
  <si>
    <t>Eizat</t>
  </si>
  <si>
    <t>Ghanim</t>
  </si>
  <si>
    <t>Swyd</t>
  </si>
  <si>
    <t>Aleass</t>
  </si>
  <si>
    <t>Rima</t>
  </si>
  <si>
    <t>AlAsfar</t>
  </si>
  <si>
    <t>Zayn</t>
  </si>
  <si>
    <t>Aleabdyn Zaetar</t>
  </si>
  <si>
    <t>Hazim</t>
  </si>
  <si>
    <t>Alshshatim</t>
  </si>
  <si>
    <t>Dia</t>
  </si>
  <si>
    <t>Alshahf</t>
  </si>
  <si>
    <t>Almusaa</t>
  </si>
  <si>
    <t>Abd Allatif</t>
  </si>
  <si>
    <t>Mabrukh</t>
  </si>
  <si>
    <t>Abumaeun</t>
  </si>
  <si>
    <t>Rafat</t>
  </si>
  <si>
    <t>Hamza</t>
  </si>
  <si>
    <t>Laylana</t>
  </si>
  <si>
    <t>Lobnaa</t>
  </si>
  <si>
    <t>Khalifih</t>
  </si>
  <si>
    <t>Sami</t>
  </si>
  <si>
    <t>Alkhujih</t>
  </si>
  <si>
    <t>Creative</t>
  </si>
  <si>
    <t>Salam</t>
  </si>
  <si>
    <t>Alealbi</t>
  </si>
  <si>
    <t>Rim</t>
  </si>
  <si>
    <t>Ghada</t>
  </si>
  <si>
    <t>Aleasimii</t>
  </si>
  <si>
    <t>Abd Alwahhab</t>
  </si>
  <si>
    <t>Ayman</t>
  </si>
  <si>
    <t>Eubayd</t>
  </si>
  <si>
    <t>Faras</t>
  </si>
  <si>
    <t>Karim</t>
  </si>
  <si>
    <t>Shadi</t>
  </si>
  <si>
    <t>Salayk</t>
  </si>
  <si>
    <t>Eubay</t>
  </si>
  <si>
    <t>Alttahir</t>
  </si>
  <si>
    <t>Abd Alhadi</t>
  </si>
  <si>
    <t>Alzzahir</t>
  </si>
  <si>
    <t>Majdulin</t>
  </si>
  <si>
    <t>Ashbrh</t>
  </si>
  <si>
    <t>Aylyn</t>
  </si>
  <si>
    <t>Dahadal</t>
  </si>
  <si>
    <t>Tala</t>
  </si>
  <si>
    <t>Tuish</t>
  </si>
  <si>
    <t>Qarh</t>
  </si>
  <si>
    <t>Almisri</t>
  </si>
  <si>
    <t>Alzaybq</t>
  </si>
  <si>
    <t>Research/Development</t>
  </si>
  <si>
    <t>Asamy</t>
  </si>
  <si>
    <t>Ibrahim</t>
  </si>
  <si>
    <t>Almasri</t>
  </si>
  <si>
    <t>Hamdah</t>
  </si>
  <si>
    <t>Alkhalifa</t>
  </si>
  <si>
    <t>Jawish</t>
  </si>
  <si>
    <t>Muwmin</t>
  </si>
  <si>
    <t>Almudhin</t>
  </si>
  <si>
    <t>Zayd</t>
  </si>
  <si>
    <t>Layzaan</t>
  </si>
  <si>
    <t>Nabulsi</t>
  </si>
  <si>
    <t>Sarih</t>
  </si>
  <si>
    <t>Eammar</t>
  </si>
  <si>
    <t>Karam</t>
  </si>
  <si>
    <t>Hutayniun</t>
  </si>
  <si>
    <t>Shahad</t>
  </si>
  <si>
    <t>Salah</t>
  </si>
  <si>
    <t>Ramadan</t>
  </si>
  <si>
    <t>Environmental Health/Safety</t>
  </si>
  <si>
    <t>Alkhayrat</t>
  </si>
  <si>
    <t>Khalid</t>
  </si>
  <si>
    <t>Snan</t>
  </si>
  <si>
    <t>Alkhatib</t>
  </si>
  <si>
    <t>Darar</t>
  </si>
  <si>
    <t>Alshiyraziu</t>
  </si>
  <si>
    <t>Mazin</t>
  </si>
  <si>
    <t>Yusif</t>
  </si>
  <si>
    <t>Rasha</t>
  </si>
  <si>
    <t>Naeim</t>
  </si>
  <si>
    <t>Eamra</t>
  </si>
  <si>
    <t>Alshueranii</t>
  </si>
  <si>
    <t>Amira</t>
  </si>
  <si>
    <t>Akrym</t>
  </si>
  <si>
    <t>Hamzat</t>
  </si>
  <si>
    <t>Khayr</t>
  </si>
  <si>
    <t>Abd Almalik</t>
  </si>
  <si>
    <t>Nazal</t>
  </si>
  <si>
    <t>Rabya</t>
  </si>
  <si>
    <t>Kiwan</t>
  </si>
  <si>
    <t>Samah</t>
  </si>
  <si>
    <t>Almaydanii</t>
  </si>
  <si>
    <t>Ali</t>
  </si>
  <si>
    <t>Watar</t>
  </si>
  <si>
    <t>Darin</t>
  </si>
  <si>
    <t>Ghunum</t>
  </si>
  <si>
    <t>Alhamal</t>
  </si>
  <si>
    <t>Amal</t>
  </si>
  <si>
    <t>Razan</t>
  </si>
  <si>
    <t>AlAhmad</t>
  </si>
  <si>
    <t>Kharasah</t>
  </si>
  <si>
    <t>Tariq</t>
  </si>
  <si>
    <t>Bryghl</t>
  </si>
  <si>
    <t>Fadi</t>
  </si>
  <si>
    <t>Aleid</t>
  </si>
  <si>
    <t>Abuzahir</t>
  </si>
  <si>
    <t>Human Resources</t>
  </si>
  <si>
    <t>Aljabr</t>
  </si>
  <si>
    <t>Abu Eadlh</t>
  </si>
  <si>
    <t>Abu Adhan</t>
  </si>
  <si>
    <t>Ehab</t>
  </si>
  <si>
    <t>Alkhibaz</t>
  </si>
  <si>
    <t>Ranya</t>
  </si>
  <si>
    <t>Salah Aldiyn</t>
  </si>
  <si>
    <t>Juri</t>
  </si>
  <si>
    <t>Zaytun</t>
  </si>
  <si>
    <t>Sahar</t>
  </si>
  <si>
    <t>Almuhamad</t>
  </si>
  <si>
    <t>Mari</t>
  </si>
  <si>
    <t>Ayly</t>
  </si>
  <si>
    <t>Alhuri</t>
  </si>
  <si>
    <t>Dania</t>
  </si>
  <si>
    <t>Almala</t>
  </si>
  <si>
    <t>Rym</t>
  </si>
  <si>
    <t>Alsydawi</t>
  </si>
  <si>
    <t>Mahir</t>
  </si>
  <si>
    <t>Alshear</t>
  </si>
  <si>
    <t>Alhamid</t>
  </si>
  <si>
    <t>Alkhayr</t>
  </si>
  <si>
    <t>Bashshar</t>
  </si>
  <si>
    <t>Jhad</t>
  </si>
  <si>
    <t>Limays</t>
  </si>
  <si>
    <t>Ghrz</t>
  </si>
  <si>
    <t>Zaydun</t>
  </si>
  <si>
    <t>Jabir</t>
  </si>
  <si>
    <t>Fatima</t>
  </si>
  <si>
    <t>Zaetar</t>
  </si>
  <si>
    <t>Shakir</t>
  </si>
  <si>
    <t>Ruyda</t>
  </si>
  <si>
    <t>Alhamadii</t>
  </si>
  <si>
    <t>Anwar</t>
  </si>
  <si>
    <t>Almaseud</t>
  </si>
  <si>
    <t>Fayaruz</t>
  </si>
  <si>
    <t>Sabih</t>
  </si>
  <si>
    <t>Jwny</t>
  </si>
  <si>
    <t>Alrashid</t>
  </si>
  <si>
    <t>Kiali</t>
  </si>
  <si>
    <t>Jamal</t>
  </si>
  <si>
    <t>Alhalib</t>
  </si>
  <si>
    <t>Suzan</t>
  </si>
  <si>
    <t>Alsawis</t>
  </si>
  <si>
    <t>Efan</t>
  </si>
  <si>
    <t>Jihad</t>
  </si>
  <si>
    <t>Aldarawasha</t>
  </si>
  <si>
    <t>Haithim</t>
  </si>
  <si>
    <t>Hujah</t>
  </si>
  <si>
    <t>Duhana</t>
  </si>
  <si>
    <t>Alakhris</t>
  </si>
  <si>
    <t>Eazalidin</t>
  </si>
  <si>
    <t>Habib</t>
  </si>
  <si>
    <t>Klizli</t>
  </si>
  <si>
    <t>Bajubuj</t>
  </si>
  <si>
    <t>Albaghdadi</t>
  </si>
  <si>
    <t>Almunzilijiu</t>
  </si>
  <si>
    <t>Labanaa</t>
  </si>
  <si>
    <t>Qaziyha</t>
  </si>
  <si>
    <t>Fatnh</t>
  </si>
  <si>
    <t>Iilyas</t>
  </si>
  <si>
    <t>Huaydi</t>
  </si>
  <si>
    <t>Abd Alruhmin</t>
  </si>
  <si>
    <t>Almahrus</t>
  </si>
  <si>
    <t>Biaism</t>
  </si>
  <si>
    <t>Tyzry</t>
  </si>
  <si>
    <t>Milatu</t>
  </si>
  <si>
    <t>Alyida</t>
  </si>
  <si>
    <t>Nieamah</t>
  </si>
  <si>
    <t>Kamal</t>
  </si>
  <si>
    <t>Hajl</t>
  </si>
  <si>
    <t>Amjad</t>
  </si>
  <si>
    <t>Naghnagh</t>
  </si>
  <si>
    <t>Qisi</t>
  </si>
  <si>
    <t>Basmah</t>
  </si>
  <si>
    <t>Alhabis</t>
  </si>
  <si>
    <t>Dahbur</t>
  </si>
  <si>
    <t>Rwbyna</t>
  </si>
  <si>
    <t>Iibrahim</t>
  </si>
  <si>
    <t>Basimah</t>
  </si>
  <si>
    <t>Sybea</t>
  </si>
  <si>
    <t>Zunar</t>
  </si>
  <si>
    <t>Eali</t>
  </si>
  <si>
    <t>Mia</t>
  </si>
  <si>
    <t>Lana</t>
  </si>
  <si>
    <t>Alhabash</t>
  </si>
  <si>
    <t>Alshghry</t>
  </si>
  <si>
    <t>Ghazal</t>
  </si>
  <si>
    <t>Hisan</t>
  </si>
  <si>
    <t>Khalil</t>
  </si>
  <si>
    <t>Alzaebii</t>
  </si>
  <si>
    <t>Shalish</t>
  </si>
  <si>
    <t>Abdalmjid</t>
  </si>
  <si>
    <t>Lebanon</t>
  </si>
  <si>
    <t>Emar</t>
  </si>
  <si>
    <t>Abil</t>
  </si>
  <si>
    <t>Lamia</t>
  </si>
  <si>
    <t>Warur</t>
  </si>
  <si>
    <t>Fyfian</t>
  </si>
  <si>
    <t>Majd</t>
  </si>
  <si>
    <t>Yasin</t>
  </si>
  <si>
    <t>Amir</t>
  </si>
  <si>
    <t>Lilas</t>
  </si>
  <si>
    <t>Balatah</t>
  </si>
  <si>
    <t>Ruaa</t>
  </si>
  <si>
    <t>Mukiin</t>
  </si>
  <si>
    <t>Shaeban</t>
  </si>
  <si>
    <t>Ewad</t>
  </si>
  <si>
    <t>Rahaf</t>
  </si>
  <si>
    <t>Alaleppoy</t>
  </si>
  <si>
    <t>Samiah</t>
  </si>
  <si>
    <t>Alsaedi</t>
  </si>
  <si>
    <t>Hamdu</t>
  </si>
  <si>
    <t>Aishah</t>
  </si>
  <si>
    <t>Alquatliu</t>
  </si>
  <si>
    <t>Dany</t>
  </si>
  <si>
    <t>Albaba</t>
  </si>
  <si>
    <t>Rinkusi</t>
  </si>
  <si>
    <t>Isam</t>
  </si>
  <si>
    <t>Jadid</t>
  </si>
  <si>
    <t>Bushraa</t>
  </si>
  <si>
    <t>Drwysh</t>
  </si>
  <si>
    <t>Zakarian</t>
  </si>
  <si>
    <t>Rashwani</t>
  </si>
  <si>
    <t>Alqadi</t>
  </si>
  <si>
    <t>Diea</t>
  </si>
  <si>
    <t>Almarstani</t>
  </si>
  <si>
    <t>Siedih</t>
  </si>
  <si>
    <t>Bisam</t>
  </si>
  <si>
    <t>Rghid</t>
  </si>
  <si>
    <t>Aryj</t>
  </si>
  <si>
    <t>Hamada</t>
  </si>
  <si>
    <t>Madlin</t>
  </si>
  <si>
    <t>Saeid</t>
  </si>
  <si>
    <t>Rybal</t>
  </si>
  <si>
    <t>Sabagh</t>
  </si>
  <si>
    <t>Samar</t>
  </si>
  <si>
    <t>Alqutb</t>
  </si>
  <si>
    <t>Murad</t>
  </si>
  <si>
    <t>Salih</t>
  </si>
  <si>
    <t>Alziyat</t>
  </si>
  <si>
    <t>Nhl</t>
  </si>
  <si>
    <t>Saed</t>
  </si>
  <si>
    <t>Alsiyah</t>
  </si>
  <si>
    <t>Majdy</t>
  </si>
  <si>
    <t>Rafaea</t>
  </si>
  <si>
    <t>Ihsan</t>
  </si>
  <si>
    <t>Eazu</t>
  </si>
  <si>
    <t>Alshaykh</t>
  </si>
  <si>
    <t>Bara</t>
  </si>
  <si>
    <t>Alrrashid</t>
  </si>
  <si>
    <t>Research Center</t>
  </si>
  <si>
    <t>Nuna</t>
  </si>
  <si>
    <t>Bima</t>
  </si>
  <si>
    <t>Mustafaa</t>
  </si>
  <si>
    <t>Husam</t>
  </si>
  <si>
    <t>Abu Shwmr</t>
  </si>
  <si>
    <t>Abdalrahmin</t>
  </si>
  <si>
    <t>Turkmany</t>
  </si>
  <si>
    <t>Majdulyn</t>
  </si>
  <si>
    <t>Alhakim</t>
  </si>
  <si>
    <t>Abu Jaysh</t>
  </si>
  <si>
    <t>Majid</t>
  </si>
  <si>
    <t>Aleusud</t>
  </si>
  <si>
    <t>Shakhashiru</t>
  </si>
  <si>
    <t>Malik</t>
  </si>
  <si>
    <t>Zarzur</t>
  </si>
  <si>
    <t>Hasan</t>
  </si>
  <si>
    <t>Iismaeil</t>
  </si>
  <si>
    <t>Abu Nasir</t>
  </si>
  <si>
    <t>Earabi</t>
  </si>
  <si>
    <t>Zahir</t>
  </si>
  <si>
    <t>Eisaa</t>
  </si>
  <si>
    <t>Lama</t>
  </si>
  <si>
    <t>Sabiq</t>
  </si>
  <si>
    <t>Dw</t>
  </si>
  <si>
    <t>Jawaher</t>
  </si>
  <si>
    <t>Shaykhus</t>
  </si>
  <si>
    <t>Emam</t>
  </si>
  <si>
    <t>Mansur</t>
  </si>
  <si>
    <t>Bulta</t>
  </si>
  <si>
    <t>Fatin</t>
  </si>
  <si>
    <t>Hamshu</t>
  </si>
  <si>
    <t>Alnasar</t>
  </si>
  <si>
    <t>Red</t>
  </si>
  <si>
    <t>Dwalyby</t>
  </si>
  <si>
    <t>Basil</t>
  </si>
  <si>
    <t>Musaa</t>
  </si>
  <si>
    <t>Antuan</t>
  </si>
  <si>
    <t>Litansdurfr</t>
  </si>
  <si>
    <t>Rashad</t>
  </si>
  <si>
    <t>Iidris</t>
  </si>
  <si>
    <t>Bidralidin</t>
  </si>
  <si>
    <t>Ahmdghrybw</t>
  </si>
  <si>
    <t>Shaykh</t>
  </si>
  <si>
    <t>Eala Aldiyn</t>
  </si>
  <si>
    <t>Khaldun</t>
  </si>
  <si>
    <t>Suqbani</t>
  </si>
  <si>
    <t>Albahra</t>
  </si>
  <si>
    <t>Ezqul</t>
  </si>
  <si>
    <t>Alhamuwd</t>
  </si>
  <si>
    <t>Abu Zamil</t>
  </si>
  <si>
    <t>Fuad</t>
  </si>
  <si>
    <t>Alsyqly</t>
  </si>
  <si>
    <t>Aldamshqi</t>
  </si>
  <si>
    <t>Sayf Aldiyn</t>
  </si>
  <si>
    <t>Alkmshh</t>
  </si>
  <si>
    <t>Alssati</t>
  </si>
  <si>
    <t>Alem</t>
  </si>
  <si>
    <t>Aleisaa</t>
  </si>
  <si>
    <t>Dulul</t>
  </si>
  <si>
    <t>Ruba</t>
  </si>
  <si>
    <t>Badawiin</t>
  </si>
  <si>
    <t>Sharihan</t>
  </si>
  <si>
    <t>Rihan</t>
  </si>
  <si>
    <t>Alyasin</t>
  </si>
  <si>
    <t>Mulaliyun</t>
  </si>
  <si>
    <t>Danah</t>
  </si>
  <si>
    <t>Almahdi</t>
  </si>
  <si>
    <t>Sakar</t>
  </si>
  <si>
    <t>Asf</t>
  </si>
  <si>
    <t>Abultif</t>
  </si>
  <si>
    <t>Alshalaq</t>
  </si>
  <si>
    <t>Zawal</t>
  </si>
  <si>
    <t>Diana</t>
  </si>
  <si>
    <t>Aleabd</t>
  </si>
  <si>
    <t>Kawkab</t>
  </si>
  <si>
    <t>Qarqazan</t>
  </si>
  <si>
    <t>Thamir</t>
  </si>
  <si>
    <t>Abu Ghazy</t>
  </si>
  <si>
    <t>Alabth</t>
  </si>
  <si>
    <t>Khadijah</t>
  </si>
  <si>
    <t>Abu Taqih</t>
  </si>
  <si>
    <t>Salwaa</t>
  </si>
  <si>
    <t>Alsyd</t>
  </si>
  <si>
    <t>Muayid</t>
  </si>
  <si>
    <t>Shbyb</t>
  </si>
  <si>
    <t>Rannym</t>
  </si>
  <si>
    <t>Tyru</t>
  </si>
  <si>
    <t>Alhaju Bikr</t>
  </si>
  <si>
    <t>Aldukifi</t>
  </si>
  <si>
    <t>Sandurana</t>
  </si>
  <si>
    <t>Antun</t>
  </si>
  <si>
    <t>Darkzifli</t>
  </si>
  <si>
    <t>Alsaeid</t>
  </si>
  <si>
    <t>Alhifar</t>
  </si>
  <si>
    <t>Kalthum</t>
  </si>
  <si>
    <t>Saeadat</t>
  </si>
  <si>
    <t>Eijrush</t>
  </si>
  <si>
    <t>Alkinaya</t>
  </si>
  <si>
    <t>Alrz</t>
  </si>
  <si>
    <t>Daniah</t>
  </si>
  <si>
    <t>Alhariri</t>
  </si>
  <si>
    <t>Quidr</t>
  </si>
  <si>
    <t>Shaykh Janid</t>
  </si>
  <si>
    <t>Esamat</t>
  </si>
  <si>
    <t>Zaza</t>
  </si>
  <si>
    <t>Hububati</t>
  </si>
  <si>
    <t>Adnan</t>
  </si>
  <si>
    <t>Alhusayn</t>
  </si>
  <si>
    <t>Allibad</t>
  </si>
  <si>
    <t>Tana</t>
  </si>
  <si>
    <t>Dahruj</t>
  </si>
  <si>
    <t>Almtlq</t>
  </si>
  <si>
    <t>Sana</t>
  </si>
  <si>
    <t>Bdraldyn</t>
  </si>
  <si>
    <t>Eataya</t>
  </si>
  <si>
    <t>Aljizamati</t>
  </si>
  <si>
    <t>Alqasir</t>
  </si>
  <si>
    <t>Shilan</t>
  </si>
  <si>
    <t>Aljasim</t>
  </si>
  <si>
    <t>Abuhamd</t>
  </si>
  <si>
    <t>Qareush</t>
  </si>
  <si>
    <t>Jaridiun</t>
  </si>
  <si>
    <t>Alhumwi</t>
  </si>
  <si>
    <t>Akthum</t>
  </si>
  <si>
    <t>Eibdalbaqi</t>
  </si>
  <si>
    <t>Almurashihi</t>
  </si>
  <si>
    <t>Batual</t>
  </si>
  <si>
    <t>Abu Fakhar</t>
  </si>
  <si>
    <t>Rinah</t>
  </si>
  <si>
    <t>Alkhuriu</t>
  </si>
  <si>
    <t>Alsaqaraq</t>
  </si>
  <si>
    <t>Sharina</t>
  </si>
  <si>
    <t>Jablah</t>
  </si>
  <si>
    <t>Alsulayman</t>
  </si>
  <si>
    <t>Almaghribiu</t>
  </si>
  <si>
    <t>Kholoud</t>
  </si>
  <si>
    <t>Khayti</t>
  </si>
  <si>
    <t>Jamul</t>
  </si>
  <si>
    <t>Alrahil</t>
  </si>
  <si>
    <t>Abd Alrazzaq</t>
  </si>
  <si>
    <t>Gharah</t>
  </si>
  <si>
    <t>Lylas</t>
  </si>
  <si>
    <t>Shiah</t>
  </si>
  <si>
    <t>Kinda</t>
  </si>
  <si>
    <t>Alaqre</t>
  </si>
  <si>
    <t>Dinana</t>
  </si>
  <si>
    <t>Zaydan</t>
  </si>
  <si>
    <t>Amyrah</t>
  </si>
  <si>
    <t>Mudinih</t>
  </si>
  <si>
    <t>Safa</t>
  </si>
  <si>
    <t>AlAhmar</t>
  </si>
  <si>
    <t>Eurman</t>
  </si>
  <si>
    <t>Abd Allah</t>
  </si>
  <si>
    <t>Almawsiliu</t>
  </si>
  <si>
    <t>Salhany</t>
  </si>
  <si>
    <t>Ashraf</t>
  </si>
  <si>
    <t>Shadi Alghazy</t>
  </si>
  <si>
    <t>Bytar</t>
  </si>
  <si>
    <t>Farahat</t>
  </si>
  <si>
    <t>Albazir</t>
  </si>
  <si>
    <t>Alnisrin</t>
  </si>
  <si>
    <t>Afra</t>
  </si>
  <si>
    <t>Sharabi</t>
  </si>
  <si>
    <t>Hamuwd</t>
  </si>
  <si>
    <t>Ramiz</t>
  </si>
  <si>
    <t>Aleuryan</t>
  </si>
  <si>
    <t>Eaku</t>
  </si>
  <si>
    <t>Euthman</t>
  </si>
  <si>
    <t>Imran</t>
  </si>
  <si>
    <t>Hazruma</t>
  </si>
  <si>
    <t>Rawan</t>
  </si>
  <si>
    <t>Durkzili</t>
  </si>
  <si>
    <t>Shaqir</t>
  </si>
  <si>
    <t>Muanis</t>
  </si>
  <si>
    <t>Alsabagh</t>
  </si>
  <si>
    <t>Dijwar</t>
  </si>
  <si>
    <t>Husu</t>
  </si>
  <si>
    <t>Asama</t>
  </si>
  <si>
    <t>Eilwan</t>
  </si>
  <si>
    <t>Alhidad</t>
  </si>
  <si>
    <t>Zaeur</t>
  </si>
  <si>
    <t>Rasul</t>
  </si>
  <si>
    <t>Aleumurii</t>
  </si>
  <si>
    <t>Albaytar</t>
  </si>
  <si>
    <t>Altuean</t>
  </si>
  <si>
    <t>Dalia</t>
  </si>
  <si>
    <t>Hamdan</t>
  </si>
  <si>
    <t>Alhindi</t>
  </si>
  <si>
    <t>Zyny</t>
  </si>
  <si>
    <t>Almuetaz</t>
  </si>
  <si>
    <t>Biallah</t>
  </si>
  <si>
    <t>Rabana</t>
  </si>
  <si>
    <t>Alsaman</t>
  </si>
  <si>
    <t>Alriys</t>
  </si>
  <si>
    <t>Samirah</t>
  </si>
  <si>
    <t>Jumea</t>
  </si>
  <si>
    <t>Alhaj Ali</t>
  </si>
  <si>
    <t>Farial</t>
  </si>
  <si>
    <t>Qulumih</t>
  </si>
  <si>
    <t>Dawara</t>
  </si>
  <si>
    <t>Abdalhadi</t>
  </si>
  <si>
    <t>Qahraman</t>
  </si>
  <si>
    <t>Mshati</t>
  </si>
  <si>
    <t>Altibae</t>
  </si>
  <si>
    <t>Iidlibi</t>
  </si>
  <si>
    <t>East</t>
  </si>
  <si>
    <t>Ghazzawi</t>
  </si>
  <si>
    <t>Eabd Aleal</t>
  </si>
  <si>
    <t>Sali</t>
  </si>
  <si>
    <t>Musuh</t>
  </si>
  <si>
    <t>Maria</t>
  </si>
  <si>
    <t>Alhizae</t>
  </si>
  <si>
    <t>Alghan</t>
  </si>
  <si>
    <t>Mitri</t>
  </si>
  <si>
    <t>Aleliwi</t>
  </si>
  <si>
    <t>Aldwltali</t>
  </si>
  <si>
    <t>Udib</t>
  </si>
  <si>
    <t>Yuzbik</t>
  </si>
  <si>
    <t>Zaerur</t>
  </si>
  <si>
    <t>Mazlum</t>
  </si>
  <si>
    <t>Alghurani</t>
  </si>
  <si>
    <t>Abd Alsamad</t>
  </si>
  <si>
    <t>Alhasan</t>
  </si>
  <si>
    <t>Altahhan</t>
  </si>
  <si>
    <t>Mahfud</t>
  </si>
  <si>
    <t>Sarah</t>
  </si>
  <si>
    <t>Damrani</t>
  </si>
  <si>
    <t>Aldubus</t>
  </si>
  <si>
    <t>Zynu</t>
  </si>
  <si>
    <t>Lwy</t>
  </si>
  <si>
    <t>Shams</t>
  </si>
  <si>
    <t>Shakur</t>
  </si>
  <si>
    <t>Abdalhai</t>
  </si>
  <si>
    <t>Sarhan</t>
  </si>
  <si>
    <t>Albush</t>
  </si>
  <si>
    <t>Anas</t>
  </si>
  <si>
    <t>Eabidin</t>
  </si>
  <si>
    <t>Ebdalwahd</t>
  </si>
  <si>
    <t>Aleazm</t>
  </si>
  <si>
    <t>Maya</t>
  </si>
  <si>
    <t>Alhmwi</t>
  </si>
  <si>
    <t>Khiat</t>
  </si>
  <si>
    <t>Randa</t>
  </si>
  <si>
    <t>Alajw</t>
  </si>
  <si>
    <t>Alghazi</t>
  </si>
  <si>
    <t>Eijluni</t>
  </si>
  <si>
    <t>Sultan</t>
  </si>
  <si>
    <t>Alhijar</t>
  </si>
  <si>
    <t>Asma</t>
  </si>
  <si>
    <t>Sadqawi</t>
  </si>
  <si>
    <t>Fulla</t>
  </si>
  <si>
    <t>Alkhalid</t>
  </si>
  <si>
    <t>Lujin</t>
  </si>
  <si>
    <t>Jihan</t>
  </si>
  <si>
    <t>Alqudmani</t>
  </si>
  <si>
    <t>Alkhayran</t>
  </si>
  <si>
    <t>Qasim</t>
  </si>
  <si>
    <t>Altaynawi</t>
  </si>
  <si>
    <t>Hafiz</t>
  </si>
  <si>
    <t>Kamilia</t>
  </si>
  <si>
    <t>Sydu</t>
  </si>
  <si>
    <t>Marwan</t>
  </si>
  <si>
    <t>Rwad</t>
  </si>
  <si>
    <t>Alddahir</t>
  </si>
  <si>
    <t>Jury</t>
  </si>
  <si>
    <t>Eabuwd</t>
  </si>
  <si>
    <t>Sayban</t>
  </si>
  <si>
    <t>Musur</t>
  </si>
  <si>
    <t>Lbyb</t>
  </si>
  <si>
    <t>Fahd</t>
  </si>
  <si>
    <t>Bilul</t>
  </si>
  <si>
    <t>Alnuwri</t>
  </si>
  <si>
    <t>Allaham</t>
  </si>
  <si>
    <t>Raft</t>
  </si>
  <si>
    <t>Asead</t>
  </si>
  <si>
    <t>Alwurhani</t>
  </si>
  <si>
    <t>Kharbutli</t>
  </si>
  <si>
    <t>Tamur</t>
  </si>
  <si>
    <t>Alkhlf</t>
  </si>
  <si>
    <t>Eisaf</t>
  </si>
  <si>
    <t>Bitahish</t>
  </si>
  <si>
    <t>Abdalrhim</t>
  </si>
  <si>
    <t>Eimaruh</t>
  </si>
  <si>
    <t>Bashaer</t>
  </si>
  <si>
    <t>Hadalah</t>
  </si>
  <si>
    <t>Maeruf</t>
  </si>
  <si>
    <t>Alnuwnu</t>
  </si>
  <si>
    <t>Albarghali</t>
  </si>
  <si>
    <t>Baha Aldiyn</t>
  </si>
  <si>
    <t>Marzuq</t>
  </si>
  <si>
    <t>Hamj</t>
  </si>
  <si>
    <t>Bradey</t>
  </si>
  <si>
    <t>Sabah</t>
  </si>
  <si>
    <t>Qadish</t>
  </si>
  <si>
    <t>Asra</t>
  </si>
  <si>
    <t>Kawaara</t>
  </si>
  <si>
    <t>Abunfis</t>
  </si>
  <si>
    <t>Lawiy</t>
  </si>
  <si>
    <t>Rama</t>
  </si>
  <si>
    <t>Alsaghir</t>
  </si>
  <si>
    <t>Qadimati</t>
  </si>
  <si>
    <t>Qays</t>
  </si>
  <si>
    <t>Dahna</t>
  </si>
  <si>
    <t>Raja</t>
  </si>
  <si>
    <t>Eaziza</t>
  </si>
  <si>
    <t>Nakaash</t>
  </si>
  <si>
    <t>Khuluf</t>
  </si>
  <si>
    <t>Zaki</t>
  </si>
  <si>
    <t>Asamh Tubae</t>
  </si>
  <si>
    <t>Daeas</t>
  </si>
  <si>
    <t>Shadi Alkhiat</t>
  </si>
  <si>
    <t>Omaimah</t>
  </si>
  <si>
    <t>Tqi Aldiyn</t>
  </si>
  <si>
    <t>Tahani</t>
  </si>
  <si>
    <t>Yasir</t>
  </si>
  <si>
    <t>Alfywmi</t>
  </si>
  <si>
    <t>Zarie</t>
  </si>
  <si>
    <t>Eaqad</t>
  </si>
  <si>
    <t>Ismaeil</t>
  </si>
  <si>
    <t>Jdwe</t>
  </si>
  <si>
    <t>Saeid Alzarey</t>
  </si>
  <si>
    <t>Bakr</t>
  </si>
  <si>
    <t>Eubdallah</t>
  </si>
  <si>
    <t>Alnajar</t>
  </si>
  <si>
    <t>Wayly</t>
  </si>
  <si>
    <t>Raghid</t>
  </si>
  <si>
    <t>Alsiraj</t>
  </si>
  <si>
    <t>Allaadhiqanii</t>
  </si>
  <si>
    <t>Ghyath</t>
  </si>
  <si>
    <t>Siriul</t>
  </si>
  <si>
    <t>Einziin</t>
  </si>
  <si>
    <t>Abdalrhmin</t>
  </si>
  <si>
    <t>Aljuju</t>
  </si>
  <si>
    <t>Lawy</t>
  </si>
  <si>
    <t>Nadaf</t>
  </si>
  <si>
    <t>Bikar</t>
  </si>
  <si>
    <t>Ziada</t>
  </si>
  <si>
    <t>Eashur</t>
  </si>
  <si>
    <t>Naqawuh</t>
  </si>
  <si>
    <t>Tamadur</t>
  </si>
  <si>
    <t>Barghuth</t>
  </si>
  <si>
    <t>Jazar</t>
  </si>
  <si>
    <t>Mareiun</t>
  </si>
  <si>
    <t>Abdaleziz</t>
  </si>
  <si>
    <t>Eiwad</t>
  </si>
  <si>
    <t>Alkhawam</t>
  </si>
  <si>
    <t>Alia</t>
  </si>
  <si>
    <t>Maseud</t>
  </si>
  <si>
    <t>Abuhani</t>
  </si>
  <si>
    <t>Alshamy</t>
  </si>
  <si>
    <t>Baha</t>
  </si>
  <si>
    <t>Eusqul</t>
  </si>
  <si>
    <t>Hylmyh</t>
  </si>
  <si>
    <t>Turkamani</t>
  </si>
  <si>
    <t>Jameah</t>
  </si>
  <si>
    <t>Akram</t>
  </si>
  <si>
    <t>Alhulwanii</t>
  </si>
  <si>
    <t>Khawla</t>
  </si>
  <si>
    <t>Dawi</t>
  </si>
  <si>
    <t>Rayid</t>
  </si>
  <si>
    <t>Zazana</t>
  </si>
  <si>
    <t>Iybw</t>
  </si>
  <si>
    <t>Jamil</t>
  </si>
  <si>
    <t>Ghabur</t>
  </si>
  <si>
    <t>Taysir</t>
  </si>
  <si>
    <t>Hanan</t>
  </si>
  <si>
    <t>Kurdiun</t>
  </si>
  <si>
    <t>Rita</t>
  </si>
  <si>
    <t>Dib</t>
  </si>
  <si>
    <t>Alghush</t>
  </si>
  <si>
    <t>Ghaliah</t>
  </si>
  <si>
    <t>Eibad</t>
  </si>
  <si>
    <t>Zaniqa</t>
  </si>
  <si>
    <t>Sharfah</t>
  </si>
  <si>
    <t>Kazeur</t>
  </si>
  <si>
    <t>Mujdi</t>
  </si>
  <si>
    <t>Altynawi</t>
  </si>
  <si>
    <t>Thayir</t>
  </si>
  <si>
    <t>Hamuwda</t>
  </si>
  <si>
    <t>Abdallah</t>
  </si>
  <si>
    <t>Zakariaa</t>
  </si>
  <si>
    <t>Ikhlas</t>
  </si>
  <si>
    <t>Jzayrly</t>
  </si>
  <si>
    <t>Badr</t>
  </si>
  <si>
    <t>Hunun</t>
  </si>
  <si>
    <t>Sariji</t>
  </si>
  <si>
    <t>Albieli</t>
  </si>
  <si>
    <t>Eyd Bndqjy</t>
  </si>
  <si>
    <t>Lulu</t>
  </si>
  <si>
    <t>Shhybr</t>
  </si>
  <si>
    <t>Abdalbasit</t>
  </si>
  <si>
    <t>Aljazayiriu</t>
  </si>
  <si>
    <t>Aywbi</t>
  </si>
  <si>
    <t>Dabana</t>
  </si>
  <si>
    <t>Fawaz</t>
  </si>
  <si>
    <t>Nafae</t>
  </si>
  <si>
    <t>Ranim</t>
  </si>
  <si>
    <t>Amani</t>
  </si>
  <si>
    <t>Altujjar</t>
  </si>
  <si>
    <t>Rashid</t>
  </si>
  <si>
    <t>Amin</t>
  </si>
  <si>
    <t>Hamid</t>
  </si>
  <si>
    <t>Kashik</t>
  </si>
  <si>
    <t>Dakhal</t>
  </si>
  <si>
    <t>Karishati</t>
  </si>
  <si>
    <t>Alsaed</t>
  </si>
  <si>
    <t>Aleaqla</t>
  </si>
  <si>
    <t>Eursaly</t>
  </si>
  <si>
    <t>Alaishhab</t>
  </si>
  <si>
    <t>Rulaa</t>
  </si>
  <si>
    <t>Shannar</t>
  </si>
  <si>
    <t>Aynas</t>
  </si>
  <si>
    <t>Alhiwat</t>
  </si>
  <si>
    <t>Sara</t>
  </si>
  <si>
    <t>Tabanaj</t>
  </si>
  <si>
    <t>Aldahan</t>
  </si>
  <si>
    <t>Ramzi</t>
  </si>
  <si>
    <t>Jan</t>
  </si>
  <si>
    <t>Mikayiylian</t>
  </si>
  <si>
    <t>Almuthanaa</t>
  </si>
  <si>
    <t>Alsaediu</t>
  </si>
  <si>
    <t>Emad</t>
  </si>
  <si>
    <t>Haydar</t>
  </si>
  <si>
    <t>Abdalkarim</t>
  </si>
  <si>
    <t>Shueayb</t>
  </si>
  <si>
    <t>Qitan</t>
  </si>
  <si>
    <t>Rajab</t>
  </si>
  <si>
    <t>Asamh</t>
  </si>
  <si>
    <t>Alyusif</t>
  </si>
  <si>
    <t>Asym</t>
  </si>
  <si>
    <t>Aleaqqad</t>
  </si>
  <si>
    <t>Dahman</t>
  </si>
  <si>
    <t>Oqba</t>
  </si>
  <si>
    <t>Alqintar</t>
  </si>
  <si>
    <t>Laylanaan</t>
  </si>
  <si>
    <t>Muhii Aldiyn</t>
  </si>
  <si>
    <t>Zaynab</t>
  </si>
  <si>
    <t>Eirat</t>
  </si>
  <si>
    <t>Alghandur</t>
  </si>
  <si>
    <t>Tamim</t>
  </si>
  <si>
    <t>Ayat</t>
  </si>
  <si>
    <t>Byd</t>
  </si>
  <si>
    <t>Daly</t>
  </si>
  <si>
    <t>Almunajid</t>
  </si>
  <si>
    <t>Eynas</t>
  </si>
  <si>
    <t>Ahmid</t>
  </si>
  <si>
    <t>Aljabaei</t>
  </si>
  <si>
    <t>Alqadri</t>
  </si>
  <si>
    <t>Bradiei</t>
  </si>
  <si>
    <t>Suirkili</t>
  </si>
  <si>
    <t>Darakal</t>
  </si>
  <si>
    <t>Bihtiti</t>
  </si>
  <si>
    <t>Ridwan</t>
  </si>
  <si>
    <t>Alshulyan</t>
  </si>
  <si>
    <t>Barghaly</t>
  </si>
  <si>
    <t>Badran</t>
  </si>
  <si>
    <t>Shwk</t>
  </si>
  <si>
    <t>Aldiyn</t>
  </si>
  <si>
    <t>Hamuwdatan</t>
  </si>
  <si>
    <t>Shuruq</t>
  </si>
  <si>
    <t>Alshahrur</t>
  </si>
  <si>
    <t>Rafif</t>
  </si>
  <si>
    <t>Khalf</t>
  </si>
  <si>
    <t>Albarnawi</t>
  </si>
  <si>
    <t>Almiqdad</t>
  </si>
  <si>
    <t>Faris</t>
  </si>
  <si>
    <t>Kafa</t>
  </si>
  <si>
    <t>Almaghribi</t>
  </si>
  <si>
    <t>Aldrwysh</t>
  </si>
  <si>
    <t>Hatim</t>
  </si>
  <si>
    <t>Nahlawi</t>
  </si>
  <si>
    <t>Rabye'</t>
  </si>
  <si>
    <t>Alzrqawy</t>
  </si>
  <si>
    <t>Huquq</t>
  </si>
  <si>
    <t>Alqatish</t>
  </si>
  <si>
    <t>Altawil</t>
  </si>
  <si>
    <t>Alsyd Ahmad</t>
  </si>
  <si>
    <t>Aleitar</t>
  </si>
  <si>
    <t>Fatir</t>
  </si>
  <si>
    <t>Alealiu</t>
  </si>
  <si>
    <t>Sulayman</t>
  </si>
  <si>
    <t>Suqabani</t>
  </si>
  <si>
    <t>Aldubbas</t>
  </si>
  <si>
    <t>Hamzaa</t>
  </si>
  <si>
    <t>Astitih</t>
  </si>
  <si>
    <t>Zinu</t>
  </si>
  <si>
    <t>Darbika</t>
  </si>
  <si>
    <t>Aldhiyab</t>
  </si>
  <si>
    <t>Salahi</t>
  </si>
  <si>
    <t>Ayuwb</t>
  </si>
  <si>
    <t>Shawqi</t>
  </si>
  <si>
    <t>Aldhahabi</t>
  </si>
  <si>
    <t>Ghayth</t>
  </si>
  <si>
    <t>Almujahid</t>
  </si>
  <si>
    <t>Dima</t>
  </si>
  <si>
    <t>Filyun</t>
  </si>
  <si>
    <t>Tasbihji</t>
  </si>
  <si>
    <t>Shumut</t>
  </si>
  <si>
    <t>Zaqzuq</t>
  </si>
  <si>
    <t>Yasmin</t>
  </si>
  <si>
    <t>Eamir</t>
  </si>
  <si>
    <t>Ratib</t>
  </si>
  <si>
    <t>Alhamd</t>
  </si>
  <si>
    <t>Abdalkrim</t>
  </si>
  <si>
    <t>Fadal</t>
  </si>
  <si>
    <t>Eurnus</t>
  </si>
  <si>
    <t>Abd Almueiyn</t>
  </si>
  <si>
    <t>Eitaya</t>
  </si>
  <si>
    <t>Qisam</t>
  </si>
  <si>
    <t>Shafiq</t>
  </si>
  <si>
    <t>Almalih</t>
  </si>
  <si>
    <t>Raghad</t>
  </si>
  <si>
    <t>Aghasi</t>
  </si>
  <si>
    <t>Alqalish</t>
  </si>
  <si>
    <t>Hawria</t>
  </si>
  <si>
    <t>Alshahadat</t>
  </si>
  <si>
    <t>Aldiyk</t>
  </si>
  <si>
    <t>Hind</t>
  </si>
  <si>
    <t>Almueasaeas</t>
  </si>
  <si>
    <t>Earmush</t>
  </si>
  <si>
    <t>Bahriin</t>
  </si>
  <si>
    <t>Nadir</t>
  </si>
  <si>
    <t>Sharif Aldaghly</t>
  </si>
  <si>
    <t>Emara</t>
  </si>
  <si>
    <t>bwalsibae</t>
  </si>
  <si>
    <t>Razzan</t>
  </si>
  <si>
    <t>Alhusayni</t>
  </si>
  <si>
    <t>Ghassan</t>
  </si>
  <si>
    <t>Aljamal</t>
  </si>
  <si>
    <t>Kahulus</t>
  </si>
  <si>
    <t>Nasir</t>
  </si>
  <si>
    <t>Iman</t>
  </si>
  <si>
    <t>Ghrz Aldiyn</t>
  </si>
  <si>
    <t>Alysia</t>
  </si>
  <si>
    <t>Alyaghshiu</t>
  </si>
  <si>
    <t>Shuelan</t>
  </si>
  <si>
    <t>Asd</t>
  </si>
  <si>
    <t>Bwfaeur</t>
  </si>
  <si>
    <t>Sari</t>
  </si>
  <si>
    <t>Hanna</t>
  </si>
  <si>
    <t>Eubayda</t>
  </si>
  <si>
    <t>Kayd</t>
  </si>
  <si>
    <t>Alkalu</t>
  </si>
  <si>
    <t>Shrbjy</t>
  </si>
  <si>
    <t>Abd Albasit</t>
  </si>
  <si>
    <t>Row Labels</t>
  </si>
  <si>
    <t>Distinct Count of ID</t>
  </si>
  <si>
    <t>Grand Total</t>
  </si>
  <si>
    <t>Sum of ID</t>
  </si>
  <si>
    <t>Sum of Years</t>
  </si>
  <si>
    <t>Average of Monthly Salary</t>
  </si>
  <si>
    <t>Average of Annual Salary</t>
  </si>
  <si>
    <t>Sum of Overtime Hours</t>
  </si>
  <si>
    <t>Average of Sick Leaves</t>
  </si>
  <si>
    <t>Sum of Monthly Salary</t>
  </si>
  <si>
    <t>Sum of Annual Salary</t>
  </si>
  <si>
    <t>Average of Job Rate</t>
  </si>
  <si>
    <t>Average of Years</t>
  </si>
  <si>
    <t>2016</t>
  </si>
  <si>
    <t>2017</t>
  </si>
  <si>
    <t>2018</t>
  </si>
  <si>
    <t>2019</t>
  </si>
  <si>
    <t>2020</t>
  </si>
  <si>
    <t>Column Labels</t>
  </si>
  <si>
    <t>Abd Albasit AlAhmar</t>
  </si>
  <si>
    <t>Abd Alhadi Alzzahir</t>
  </si>
  <si>
    <t>Abd Allah Aldahan</t>
  </si>
  <si>
    <t>Abd Allah Almawsiliu</t>
  </si>
  <si>
    <t>Abd Allatif Mabrukh</t>
  </si>
  <si>
    <t>Abd Almalik Nazal</t>
  </si>
  <si>
    <t>Abd Almueiyn Eitaya</t>
  </si>
  <si>
    <t>Abd Alrazzaq Gharah</t>
  </si>
  <si>
    <t>Abd Alruhmin Allaham</t>
  </si>
  <si>
    <t>Abd Alruhmin Almahrus</t>
  </si>
  <si>
    <t>Abd Alruhmin Alnasar</t>
  </si>
  <si>
    <t>Abd Alruhmin Dulul</t>
  </si>
  <si>
    <t>Abd Alruhmin Hamj</t>
  </si>
  <si>
    <t>Abd Alruhmin Salih</t>
  </si>
  <si>
    <t>Abd Alsamad Ahmad</t>
  </si>
  <si>
    <t>Abd Alwahhab Aldhiyab</t>
  </si>
  <si>
    <t>Abd Alwahhab Muhamad</t>
  </si>
  <si>
    <t>Abdalbasit Aljazayiriu</t>
  </si>
  <si>
    <t>Abdaleziz Eiwad</t>
  </si>
  <si>
    <t>Abdalhadi Salim</t>
  </si>
  <si>
    <t>Abdalhai Sarhan</t>
  </si>
  <si>
    <t>Abdalkarim Shueayb</t>
  </si>
  <si>
    <t>Abdalkrim Fadal</t>
  </si>
  <si>
    <t>Abdallah Zakariaa</t>
  </si>
  <si>
    <t>Abdalmjid Ahmad</t>
  </si>
  <si>
    <t>Abdalrahmin Turkmany</t>
  </si>
  <si>
    <t>Abdalrhim Eimaruh</t>
  </si>
  <si>
    <t>Abdalrhmin Aljuju</t>
  </si>
  <si>
    <t>Abdalrhmin Shwk</t>
  </si>
  <si>
    <t>Adnan Aleaqla</t>
  </si>
  <si>
    <t>Adnan Alhusayn</t>
  </si>
  <si>
    <t>Adnan Allaadhiqanii</t>
  </si>
  <si>
    <t>Afra Sharabi</t>
  </si>
  <si>
    <t>Ahed Salim</t>
  </si>
  <si>
    <t>Ahmad Abu Eadlh</t>
  </si>
  <si>
    <t>Ahmad Abu Jaysh</t>
  </si>
  <si>
    <t>Ahmad Ahmad</t>
  </si>
  <si>
    <t>Ahmad Ahmid</t>
  </si>
  <si>
    <t>Ahmad Aldiyk</t>
  </si>
  <si>
    <t>Ahmad Aldwltali</t>
  </si>
  <si>
    <t>Ahmad Alealbi</t>
  </si>
  <si>
    <t>Ahmad Alghurani</t>
  </si>
  <si>
    <t>Ahmad Almisri</t>
  </si>
  <si>
    <t>Ahmad Alnajar</t>
  </si>
  <si>
    <t>Ahmad Alqadi</t>
  </si>
  <si>
    <t>Ahmad Alshalaq</t>
  </si>
  <si>
    <t>Ahmad Alshamy</t>
  </si>
  <si>
    <t>Ahmad Bikri</t>
  </si>
  <si>
    <t>Ahmad Bradey</t>
  </si>
  <si>
    <t>Ahmad Dabana</t>
  </si>
  <si>
    <t>Ahmad Daeas</t>
  </si>
  <si>
    <t>Ahmad Dahman</t>
  </si>
  <si>
    <t>Ahmad Eashur</t>
  </si>
  <si>
    <t>Ahmad Eurman</t>
  </si>
  <si>
    <t>Ahmad Eyd Bndqjy</t>
  </si>
  <si>
    <t>Ahmad Ezqul</t>
  </si>
  <si>
    <t>Ahmad Hamuwd</t>
  </si>
  <si>
    <t>Ahmad Hamuwdatan</t>
  </si>
  <si>
    <t>Ahmad Iidlibi</t>
  </si>
  <si>
    <t>Ahmad Iidris</t>
  </si>
  <si>
    <t>Ahmad Kazeur</t>
  </si>
  <si>
    <t>Ahmad Laylana</t>
  </si>
  <si>
    <t>Ahmad Muhamad</t>
  </si>
  <si>
    <t>Ahmad Naqawuh</t>
  </si>
  <si>
    <t>Ahmad Qadimati</t>
  </si>
  <si>
    <t>Ahmad Salih</t>
  </si>
  <si>
    <t>Ahmad Shakir</t>
  </si>
  <si>
    <t>Ahmad Swyd</t>
  </si>
  <si>
    <t>Ahmad Zayd</t>
  </si>
  <si>
    <t>Ahmad Zynu</t>
  </si>
  <si>
    <t>Ailya Sharaf</t>
  </si>
  <si>
    <t>Aishah Alquatliu</t>
  </si>
  <si>
    <t>Akram Alhulwanii</t>
  </si>
  <si>
    <t>Akthum Eibdalbaqi</t>
  </si>
  <si>
    <t>Alaa Almisri</t>
  </si>
  <si>
    <t>Alaa Almunzilijiu</t>
  </si>
  <si>
    <t>Alaa Alqasir</t>
  </si>
  <si>
    <t>Alaa Alrifaei</t>
  </si>
  <si>
    <t>Alaa Altahhan</t>
  </si>
  <si>
    <t>Alaa Alyusif</t>
  </si>
  <si>
    <t>Alaa Efan</t>
  </si>
  <si>
    <t>Alaa Hafiz</t>
  </si>
  <si>
    <t>Alaa Iismaeil</t>
  </si>
  <si>
    <t>Alaa Muhamad</t>
  </si>
  <si>
    <t>Alaa Saed</t>
  </si>
  <si>
    <t>Alaa Sultan</t>
  </si>
  <si>
    <t>Alaa Yuzbik</t>
  </si>
  <si>
    <t>Ali Alhuri</t>
  </si>
  <si>
    <t>Ali Almiqdad</t>
  </si>
  <si>
    <t>Ali Alnuwri</t>
  </si>
  <si>
    <t>Ali Alqadri</t>
  </si>
  <si>
    <t>Ali Alshaykh</t>
  </si>
  <si>
    <t>Ali Barghaly</t>
  </si>
  <si>
    <t>Ali Marwan</t>
  </si>
  <si>
    <t>Ali Muhamad</t>
  </si>
  <si>
    <t>Ali Nhl</t>
  </si>
  <si>
    <t>Ali Watar</t>
  </si>
  <si>
    <t>Ali Zyny</t>
  </si>
  <si>
    <t>Alia Abu</t>
  </si>
  <si>
    <t>Alia Maseud</t>
  </si>
  <si>
    <t>Almuetaz Biallah</t>
  </si>
  <si>
    <t>Almuthanaa Alsaediu</t>
  </si>
  <si>
    <t>Alyida Nieamah</t>
  </si>
  <si>
    <t>Alysia Alyaghshiu</t>
  </si>
  <si>
    <t>Amal Alhusayn</t>
  </si>
  <si>
    <t>Amal Asamy</t>
  </si>
  <si>
    <t>Amani Altujjar</t>
  </si>
  <si>
    <t>Amin Hamid</t>
  </si>
  <si>
    <t>Amir Alhasan</t>
  </si>
  <si>
    <t>Amir Alhifar</t>
  </si>
  <si>
    <t>Amir Alkhatib</t>
  </si>
  <si>
    <t>Amir Alkhawam</t>
  </si>
  <si>
    <t>Amir Alnuwnu</t>
  </si>
  <si>
    <t>Amir Karishati</t>
  </si>
  <si>
    <t>Amira Akrym</t>
  </si>
  <si>
    <t>Amjad Alrz</t>
  </si>
  <si>
    <t>Amjad Naghnagh</t>
  </si>
  <si>
    <t>Amjad Nasir</t>
  </si>
  <si>
    <t>Amyrah Mudinih</t>
  </si>
  <si>
    <t>Anas Eabidin</t>
  </si>
  <si>
    <t>Antuan Litansdurfr</t>
  </si>
  <si>
    <t>Anwar Alkhayran</t>
  </si>
  <si>
    <t>Anwar Almaseud</t>
  </si>
  <si>
    <t>Aryj Hamada</t>
  </si>
  <si>
    <t>Asama Eilwan</t>
  </si>
  <si>
    <t>Asd Bwfaeur</t>
  </si>
  <si>
    <t>Asf Abultif</t>
  </si>
  <si>
    <t>Ashraf Aleid</t>
  </si>
  <si>
    <t>Asma Sadqawi</t>
  </si>
  <si>
    <t>Asra Abuhani</t>
  </si>
  <si>
    <t>Asra Almisri</t>
  </si>
  <si>
    <t>Asra Jameah</t>
  </si>
  <si>
    <t>Asym Aleaqqad</t>
  </si>
  <si>
    <t>Ayat Byd</t>
  </si>
  <si>
    <t>Ayham Aleisaa</t>
  </si>
  <si>
    <t>Ayham Alkhlf</t>
  </si>
  <si>
    <t>Ayham Almusaa</t>
  </si>
  <si>
    <t>Ayham Alqadi</t>
  </si>
  <si>
    <t>Ayham Kharbutli</t>
  </si>
  <si>
    <t>Ayham Sharfah</t>
  </si>
  <si>
    <t>Ayham Tutwnji</t>
  </si>
  <si>
    <t>Ayly Bahriin</t>
  </si>
  <si>
    <t>Aylyn Dahadal</t>
  </si>
  <si>
    <t>Ayman Eubayd</t>
  </si>
  <si>
    <t>Ayman Muhamad</t>
  </si>
  <si>
    <t>Aynas Alhiwat</t>
  </si>
  <si>
    <t>Baha Aldiyn Marzuq</t>
  </si>
  <si>
    <t>Baha Eusqul</t>
  </si>
  <si>
    <t>Bakr Eubdallah</t>
  </si>
  <si>
    <t>Bara Alrrashid</t>
  </si>
  <si>
    <t>Bashaer Hadalah</t>
  </si>
  <si>
    <t>Bashshar Bilul</t>
  </si>
  <si>
    <t>Bashshar Mareiun</t>
  </si>
  <si>
    <t>Bashshar Shakhashiru</t>
  </si>
  <si>
    <t>Basil Eabd Aleal</t>
  </si>
  <si>
    <t>Basil Farahat</t>
  </si>
  <si>
    <t>Basil Khiat</t>
  </si>
  <si>
    <t>Basil Musaa</t>
  </si>
  <si>
    <t>Basil Salih</t>
  </si>
  <si>
    <t>Basimah Sybea</t>
  </si>
  <si>
    <t>Basmah Alhabis</t>
  </si>
  <si>
    <t>Batual Abu Fakhar</t>
  </si>
  <si>
    <t>Bayan Darbika</t>
  </si>
  <si>
    <t>Bayan Eurnus</t>
  </si>
  <si>
    <t>Bayan Qdw</t>
  </si>
  <si>
    <t>Biaism Tyzry</t>
  </si>
  <si>
    <t>Bidralidin Ahmdghrybw</t>
  </si>
  <si>
    <t>Bilal Alqalish</t>
  </si>
  <si>
    <t>Bilal Aywbi</t>
  </si>
  <si>
    <t>Bilal Einziin</t>
  </si>
  <si>
    <t>Bilal Jalal</t>
  </si>
  <si>
    <t>Bima Mustafaa</t>
  </si>
  <si>
    <t>Bisam Almisri</t>
  </si>
  <si>
    <t>Bisam Altahhan</t>
  </si>
  <si>
    <t>Bushraa Drwysh</t>
  </si>
  <si>
    <t>Dalia Hamdan</t>
  </si>
  <si>
    <t>Dalia Nahlawi</t>
  </si>
  <si>
    <t>Danah Almahdi</t>
  </si>
  <si>
    <t>Danah Suirkili</t>
  </si>
  <si>
    <t>Dania Almala</t>
  </si>
  <si>
    <t>Dania Earmush</t>
  </si>
  <si>
    <t>Daniah Alhariri</t>
  </si>
  <si>
    <t>Dany Albaba</t>
  </si>
  <si>
    <t>Darar Alshiyraziu</t>
  </si>
  <si>
    <t>Darin Ghunum</t>
  </si>
  <si>
    <t>Dia Alshahf</t>
  </si>
  <si>
    <t>Diana Aleabd</t>
  </si>
  <si>
    <t>Diana Muayid</t>
  </si>
  <si>
    <t>Diea Almarstani</t>
  </si>
  <si>
    <t>Diea Dakhal</t>
  </si>
  <si>
    <t>Diea Filyun</t>
  </si>
  <si>
    <t>Diea Jazar</t>
  </si>
  <si>
    <t>Diea Sharina</t>
  </si>
  <si>
    <t>Diea Shuelan</t>
  </si>
  <si>
    <t>Dijwar Husu</t>
  </si>
  <si>
    <t>Dima Drwysh</t>
  </si>
  <si>
    <t>Dinana Zaydan</t>
  </si>
  <si>
    <t>Duhana Alakhris</t>
  </si>
  <si>
    <t>Eala Alhaj</t>
  </si>
  <si>
    <t>Eala Almisri</t>
  </si>
  <si>
    <t>Eala Dahbur</t>
  </si>
  <si>
    <t>Eala Darkzifli</t>
  </si>
  <si>
    <t>Eala Hatim</t>
  </si>
  <si>
    <t>Eala Mitri</t>
  </si>
  <si>
    <t>Eala Murad</t>
  </si>
  <si>
    <t>Eala Zaniqa</t>
  </si>
  <si>
    <t>Eamra Alshueranii</t>
  </si>
  <si>
    <t>Eazalidin Almala</t>
  </si>
  <si>
    <t>Ehab Alkhibaz</t>
  </si>
  <si>
    <t>Eizat Ghanim</t>
  </si>
  <si>
    <t>Emad Dulul</t>
  </si>
  <si>
    <t>Emam Mansur</t>
  </si>
  <si>
    <t>Emar Abil</t>
  </si>
  <si>
    <t>Emar Alnisrin</t>
  </si>
  <si>
    <t>Emar Eisaf</t>
  </si>
  <si>
    <t>Emar Nakaash</t>
  </si>
  <si>
    <t>Emara bwalsibae</t>
  </si>
  <si>
    <t>Esamat Alhidad</t>
  </si>
  <si>
    <t>Esamat Alriys</t>
  </si>
  <si>
    <t>Esamat Zaza</t>
  </si>
  <si>
    <t>Eubay Alttahir</t>
  </si>
  <si>
    <t>Eubayda Kayd</t>
  </si>
  <si>
    <t>Eynas Muhamad</t>
  </si>
  <si>
    <t>Fadi Aleid</t>
  </si>
  <si>
    <t>Fadi Aljizamati</t>
  </si>
  <si>
    <t>Fadi Alqadi</t>
  </si>
  <si>
    <t>Fadi Ghazzawi</t>
  </si>
  <si>
    <t>Fadi Hububati</t>
  </si>
  <si>
    <t>Fadi Nuna</t>
  </si>
  <si>
    <t>Fadi Shakur</t>
  </si>
  <si>
    <t>Fahd Shaykh</t>
  </si>
  <si>
    <t>Farahad Husayn</t>
  </si>
  <si>
    <t>Faras Alghandur</t>
  </si>
  <si>
    <t>Faras Alhamal</t>
  </si>
  <si>
    <t>Faras Alrahil</t>
  </si>
  <si>
    <t>Faras Karim</t>
  </si>
  <si>
    <t>Faras Kawaara</t>
  </si>
  <si>
    <t>Faras Shaykh</t>
  </si>
  <si>
    <t>Farial Qulumih</t>
  </si>
  <si>
    <t>Fatima Hasan</t>
  </si>
  <si>
    <t>Fatima Zaetar</t>
  </si>
  <si>
    <t>Fatin Hamshu</t>
  </si>
  <si>
    <t>Fatin Red</t>
  </si>
  <si>
    <t>Fatir Alealiu</t>
  </si>
  <si>
    <t>Fatnh Abu</t>
  </si>
  <si>
    <t>Fawaz Ghazal</t>
  </si>
  <si>
    <t>Fayaruz Sabih</t>
  </si>
  <si>
    <t>Fuad Alsyqly</t>
  </si>
  <si>
    <t>Fulla Alkhalid</t>
  </si>
  <si>
    <t>Fyfian Abu</t>
  </si>
  <si>
    <t>Ghada Aleasimii</t>
  </si>
  <si>
    <t>Ghada Darakal</t>
  </si>
  <si>
    <t>Ghada Khalid</t>
  </si>
  <si>
    <t>Ghadir Hmshw</t>
  </si>
  <si>
    <t>Ghaliah Eibad</t>
  </si>
  <si>
    <t>Ghalib Zakianiin</t>
  </si>
  <si>
    <t>Ghassan Aljamal</t>
  </si>
  <si>
    <t>Ghayth Eali</t>
  </si>
  <si>
    <t>Ghazal Alghan</t>
  </si>
  <si>
    <t>Ghazal Hisan</t>
  </si>
  <si>
    <t>Ghyath Abu</t>
  </si>
  <si>
    <t>Habib Klizli</t>
  </si>
  <si>
    <t>Haithim Hujah</t>
  </si>
  <si>
    <t>Hamdah Alkhalifa</t>
  </si>
  <si>
    <t>Hamzaa Astitih</t>
  </si>
  <si>
    <t>Hanan Bradiei</t>
  </si>
  <si>
    <t>Hanan Kurdiun</t>
  </si>
  <si>
    <t>Hanan Salahi</t>
  </si>
  <si>
    <t>Hasan Alfywmi</t>
  </si>
  <si>
    <t>Hasan Aljasim</t>
  </si>
  <si>
    <t>Hasan Iismaeil</t>
  </si>
  <si>
    <t>Hasan Kalthum</t>
  </si>
  <si>
    <t>Hasan Quidr</t>
  </si>
  <si>
    <t>Hazim Alshshatim</t>
  </si>
  <si>
    <t>Hind Almueasaeas</t>
  </si>
  <si>
    <t>Husam Abu Shwmr</t>
  </si>
  <si>
    <t>Husam Albush</t>
  </si>
  <si>
    <t>Husam Aldiyn</t>
  </si>
  <si>
    <t>Husam Aldubus</t>
  </si>
  <si>
    <t>Husam Alhamd</t>
  </si>
  <si>
    <t>Husam Alsaed</t>
  </si>
  <si>
    <t>Husam Badr</t>
  </si>
  <si>
    <t>Husam Tamim</t>
  </si>
  <si>
    <t>Husam Ziada</t>
  </si>
  <si>
    <t>Husayn Abu Nasir</t>
  </si>
  <si>
    <t>Husayn Euthman</t>
  </si>
  <si>
    <t>Husayn Hawria</t>
  </si>
  <si>
    <t>Husayn Zaerur</t>
  </si>
  <si>
    <t>Iad Alhusayn</t>
  </si>
  <si>
    <t>Iad Alshaykh</t>
  </si>
  <si>
    <t>Iad Badran</t>
  </si>
  <si>
    <t>Iad Eaku</t>
  </si>
  <si>
    <t>Iad Mahfud</t>
  </si>
  <si>
    <t>Ibrahim Alhamid</t>
  </si>
  <si>
    <t>Ibrahim Almasri</t>
  </si>
  <si>
    <t>Ibrahim Alqatish</t>
  </si>
  <si>
    <t>Ibrahim Alyasin</t>
  </si>
  <si>
    <t>Ibrahim Nabulsi</t>
  </si>
  <si>
    <t>Ihsan Eazu</t>
  </si>
  <si>
    <t>Iilian Dbs</t>
  </si>
  <si>
    <t>Iilyas Dahadal</t>
  </si>
  <si>
    <t>Iin Alhaju Bikr</t>
  </si>
  <si>
    <t>Iin Alhalaliu</t>
  </si>
  <si>
    <t>Iin Alhumwi</t>
  </si>
  <si>
    <t>Iin Almunzilijiu</t>
  </si>
  <si>
    <t>Iin Bitahish</t>
  </si>
  <si>
    <t>Iin Farahat</t>
  </si>
  <si>
    <t>Iin Kafa</t>
  </si>
  <si>
    <t>Iin Mulaliyun</t>
  </si>
  <si>
    <t>Iin Murad</t>
  </si>
  <si>
    <t>Iin Qisi</t>
  </si>
  <si>
    <t>Ikhlas Alhasan</t>
  </si>
  <si>
    <t>Iman Ghrz Aldiyn</t>
  </si>
  <si>
    <t>Imran Hazruma</t>
  </si>
  <si>
    <t>Isam Jadid</t>
  </si>
  <si>
    <t>Ismaeil Jdwe</t>
  </si>
  <si>
    <t>Jablah Alsulayman</t>
  </si>
  <si>
    <t>Jalal Almuluhi</t>
  </si>
  <si>
    <t>Jamal Alhalib</t>
  </si>
  <si>
    <t>Jamil Ghabur</t>
  </si>
  <si>
    <t>Jan Mikayiylian</t>
  </si>
  <si>
    <t>Jawaher Shaykhus</t>
  </si>
  <si>
    <t>Jihad Aldarawasha</t>
  </si>
  <si>
    <t>Jihad Aldukifi</t>
  </si>
  <si>
    <t>Jihan Alqudmani</t>
  </si>
  <si>
    <t>Jihan Nadir</t>
  </si>
  <si>
    <t>Juri Zaytun</t>
  </si>
  <si>
    <t>Jury Eabuwd</t>
  </si>
  <si>
    <t>Jwny Alrashid</t>
  </si>
  <si>
    <t>Kamal Hajl</t>
  </si>
  <si>
    <t>Kamilia Sydu</t>
  </si>
  <si>
    <t>Karam Hutayniun</t>
  </si>
  <si>
    <t>Karam Kiali</t>
  </si>
  <si>
    <t>Kawkab Qarqazan</t>
  </si>
  <si>
    <t>Khadijah Abu Taqih</t>
  </si>
  <si>
    <t>Khadijah Turkamani</t>
  </si>
  <si>
    <t>Khaldun Alsaedi</t>
  </si>
  <si>
    <t>Khaldun Suqbani</t>
  </si>
  <si>
    <t>Khalid Alem</t>
  </si>
  <si>
    <t>Khalid Alkhawam</t>
  </si>
  <si>
    <t>Khalid Iibrahim</t>
  </si>
  <si>
    <t>Khalid Jameah</t>
  </si>
  <si>
    <t>Khalid Siriul</t>
  </si>
  <si>
    <t>Khalid Snan</t>
  </si>
  <si>
    <t>Khalil Alkalu</t>
  </si>
  <si>
    <t>Khalil Alzaebii</t>
  </si>
  <si>
    <t>Khalil Salam</t>
  </si>
  <si>
    <t>Khawla Dawi</t>
  </si>
  <si>
    <t>Kholoud Huquq</t>
  </si>
  <si>
    <t>Kholoud Khayti</t>
  </si>
  <si>
    <t>Kinda Alaqre</t>
  </si>
  <si>
    <t>Kinda Zaki</t>
  </si>
  <si>
    <t>Labanaa Qaziyha</t>
  </si>
  <si>
    <t>Lama Albazir</t>
  </si>
  <si>
    <t>Lama Alhasan</t>
  </si>
  <si>
    <t>Lama Almala</t>
  </si>
  <si>
    <t>Lama Almisri</t>
  </si>
  <si>
    <t>Lama Sabiq</t>
  </si>
  <si>
    <t>Lama Yasin</t>
  </si>
  <si>
    <t>Lamia Warur</t>
  </si>
  <si>
    <t>Lana Alhabash</t>
  </si>
  <si>
    <t>Lawiy Shiah</t>
  </si>
  <si>
    <t>Lawy Nadaf</t>
  </si>
  <si>
    <t>Layzaan Nabulsi</t>
  </si>
  <si>
    <t>Lbyb Fahd</t>
  </si>
  <si>
    <t>Lilas Balatah</t>
  </si>
  <si>
    <t>Lilas Kashik</t>
  </si>
  <si>
    <t>Lilas Nafae</t>
  </si>
  <si>
    <t>Limays Ghrz</t>
  </si>
  <si>
    <t>Lina Aljabaan</t>
  </si>
  <si>
    <t>Lina Aljabr</t>
  </si>
  <si>
    <t>Lina Wayly</t>
  </si>
  <si>
    <t>Lobnaa Khalifih</t>
  </si>
  <si>
    <t>Lujin Alaleppoy</t>
  </si>
  <si>
    <t>Lwiy Qbany</t>
  </si>
  <si>
    <t>Lwna Abu</t>
  </si>
  <si>
    <t>Lwna Albahra</t>
  </si>
  <si>
    <t>Lwy Abu</t>
  </si>
  <si>
    <t>Lylas Shiah</t>
  </si>
  <si>
    <t>Madlin Aljabaei</t>
  </si>
  <si>
    <t>Madlin Alsaed</t>
  </si>
  <si>
    <t>Madlin Saeid</t>
  </si>
  <si>
    <t>Mahir Albaghdadi</t>
  </si>
  <si>
    <t>Mahir Almarstani</t>
  </si>
  <si>
    <t>Mahir Alshear</t>
  </si>
  <si>
    <t>Mahir Bikar</t>
  </si>
  <si>
    <t>Mahir Eabuwd</t>
  </si>
  <si>
    <t>Majd Abuhamd</t>
  </si>
  <si>
    <t>Majd Eisaa</t>
  </si>
  <si>
    <t>Majd Yasin</t>
  </si>
  <si>
    <t>Majdulin Ashbrh</t>
  </si>
  <si>
    <t>Majdulyn Alhakim</t>
  </si>
  <si>
    <t>Majdy Rafaea</t>
  </si>
  <si>
    <t>Majid Aleusud</t>
  </si>
  <si>
    <t>Malik Alshaykh</t>
  </si>
  <si>
    <t>Mari Ayly</t>
  </si>
  <si>
    <t>Mari Ayuwb</t>
  </si>
  <si>
    <t>Maria Alhizae</t>
  </si>
  <si>
    <t>Maria Lulu</t>
  </si>
  <si>
    <t>Maya Alhmwi</t>
  </si>
  <si>
    <t>Mazin Bihtiti</t>
  </si>
  <si>
    <t>Mazin Bytar</t>
  </si>
  <si>
    <t>Mazin Earabi</t>
  </si>
  <si>
    <t>Mazin Eubayd</t>
  </si>
  <si>
    <t>Mazin Shumut</t>
  </si>
  <si>
    <t>Mazin Yusif</t>
  </si>
  <si>
    <t>Mazin Zawal</t>
  </si>
  <si>
    <t>Muanis Alsabagh</t>
  </si>
  <si>
    <t>Muayid Shaqir</t>
  </si>
  <si>
    <t>Muayid Shbyb</t>
  </si>
  <si>
    <t>Muayid Siedih</t>
  </si>
  <si>
    <t>Muhamad Abu Zamil</t>
  </si>
  <si>
    <t>Muhamad Abunfis</t>
  </si>
  <si>
    <t>Muhamad Alabth</t>
  </si>
  <si>
    <t>Muhamad Alaya</t>
  </si>
  <si>
    <t>Muhamad Albarnawi</t>
  </si>
  <si>
    <t>Muhamad Albieli</t>
  </si>
  <si>
    <t>Muhamad Aldamshqi</t>
  </si>
  <si>
    <t>Muhamad Aldubbas</t>
  </si>
  <si>
    <t>Muhamad Aleass</t>
  </si>
  <si>
    <t>Muhamad Aleazm</t>
  </si>
  <si>
    <t>Muhamad Aleliwi</t>
  </si>
  <si>
    <t>Muhamad Alghazi</t>
  </si>
  <si>
    <t>Muhamad Alghush</t>
  </si>
  <si>
    <t>Muhamad Alkhatib</t>
  </si>
  <si>
    <t>Muhamad Alkhayr</t>
  </si>
  <si>
    <t>Muhamad Allibad</t>
  </si>
  <si>
    <t>Muhamad Almaghribi</t>
  </si>
  <si>
    <t>Muhamad Almaghribiu</t>
  </si>
  <si>
    <t>Muhamad Almisri</t>
  </si>
  <si>
    <t>Muhamad Almtlq</t>
  </si>
  <si>
    <t>Muhamad Almunajid</t>
  </si>
  <si>
    <t>Muhamad Almurashihi</t>
  </si>
  <si>
    <t>Muhamad Alqadah</t>
  </si>
  <si>
    <t>Muhamad Alrifaei</t>
  </si>
  <si>
    <t>Muhamad Alsaedi</t>
  </si>
  <si>
    <t>Muhamad Alsaman</t>
  </si>
  <si>
    <t>Muhamad Alsaqaraq</t>
  </si>
  <si>
    <t>Muhamad Alshahrur</t>
  </si>
  <si>
    <t>Muhamad Alshghry</t>
  </si>
  <si>
    <t>Muhamad Alssati</t>
  </si>
  <si>
    <t>Muhamad Altarah</t>
  </si>
  <si>
    <t>Muhamad Altynawi</t>
  </si>
  <si>
    <t>Muhamad Alzaybq</t>
  </si>
  <si>
    <t>Muhamad Alziyat</t>
  </si>
  <si>
    <t>Muhamad Amir</t>
  </si>
  <si>
    <t>Muhamad Asamh</t>
  </si>
  <si>
    <t>Muhamad Asamh Tubae</t>
  </si>
  <si>
    <t>Muhamad Asamy</t>
  </si>
  <si>
    <t>Muhamad Ayman</t>
  </si>
  <si>
    <t>Muhamad Badawiin</t>
  </si>
  <si>
    <t>Muhamad Bashshar</t>
  </si>
  <si>
    <t>Muhamad Basil</t>
  </si>
  <si>
    <t>Muhamad Bdraldyn</t>
  </si>
  <si>
    <t>Muhamad Bulta</t>
  </si>
  <si>
    <t>Muhamad Dib</t>
  </si>
  <si>
    <t>Muhamad Eala Aldiyn</t>
  </si>
  <si>
    <t>Muhamad Eaqad</t>
  </si>
  <si>
    <t>Muhamad Eataya</t>
  </si>
  <si>
    <t>Muhamad Ebdalwahd</t>
  </si>
  <si>
    <t>Muhamad Eursaly</t>
  </si>
  <si>
    <t>Muhamad Eurul</t>
  </si>
  <si>
    <t>Muhamad Hamzat</t>
  </si>
  <si>
    <t>Muhamad Haydar</t>
  </si>
  <si>
    <t>Muhamad Husayn</t>
  </si>
  <si>
    <t>Muhamad Hylmyh</t>
  </si>
  <si>
    <t>Muhamad Iad</t>
  </si>
  <si>
    <t>Muhamad Iismaeil</t>
  </si>
  <si>
    <t>Muhamad Jawish</t>
  </si>
  <si>
    <t>Muhamad Jhad</t>
  </si>
  <si>
    <t>Muhamad Jzayrly</t>
  </si>
  <si>
    <t>Muhamad Khalid</t>
  </si>
  <si>
    <t>Muhamad Khalil</t>
  </si>
  <si>
    <t>Muhamad Kharasah</t>
  </si>
  <si>
    <t>Muhamad Khayr</t>
  </si>
  <si>
    <t>Muhamad Mshati</t>
  </si>
  <si>
    <t>Muhamad Qarh</t>
  </si>
  <si>
    <t>Muhamad Raft</t>
  </si>
  <si>
    <t>Muhamad Rajab</t>
  </si>
  <si>
    <t>Muhamad Ramzi</t>
  </si>
  <si>
    <t>Muhamad Rashid</t>
  </si>
  <si>
    <t>Muhamad Ratib</t>
  </si>
  <si>
    <t>Muhamad Rghid</t>
  </si>
  <si>
    <t>Muhamad Rinkusi</t>
  </si>
  <si>
    <t>Muhamad Saeadat</t>
  </si>
  <si>
    <t>Muhamad Saeid Alzarey</t>
  </si>
  <si>
    <t>Muhamad Sakar</t>
  </si>
  <si>
    <t>Muhamad Salah</t>
  </si>
  <si>
    <t>Muhamad Salhany</t>
  </si>
  <si>
    <t>Muhamad Shadi Alghazy</t>
  </si>
  <si>
    <t>Muhamad Shadi Alkhiat</t>
  </si>
  <si>
    <t>Muhamad Shaeban</t>
  </si>
  <si>
    <t>Muhamad Sharif Aldaghly</t>
  </si>
  <si>
    <t>Muhamad Shaykh Janid</t>
  </si>
  <si>
    <t>Muhamad Shhybr</t>
  </si>
  <si>
    <t>Muhamad Shrbjy</t>
  </si>
  <si>
    <t>Muhamad Siedih</t>
  </si>
  <si>
    <t>Muhamad Sulayman</t>
  </si>
  <si>
    <t>Muhamad Suqabani</t>
  </si>
  <si>
    <t>Muhamad Tamur</t>
  </si>
  <si>
    <t>Muhamad Tasbihji</t>
  </si>
  <si>
    <t>Muhamad Udib</t>
  </si>
  <si>
    <t>Muhamad Zaydan</t>
  </si>
  <si>
    <t>Muhamad Zueitr</t>
  </si>
  <si>
    <t>Mujdi Kiwan</t>
  </si>
  <si>
    <t>Muwmin Almudhin</t>
  </si>
  <si>
    <t>Muwmin Almujahid</t>
  </si>
  <si>
    <t>Muwmin Ewad</t>
  </si>
  <si>
    <t>Omaimah Tqi Aldiyn</t>
  </si>
  <si>
    <t>Omar Alhindi</t>
  </si>
  <si>
    <t>Omar Altuean</t>
  </si>
  <si>
    <t>Omar Alwurhani</t>
  </si>
  <si>
    <t>Omar Hishan</t>
  </si>
  <si>
    <t>Omar Kahulus</t>
  </si>
  <si>
    <t>Omar Milatu</t>
  </si>
  <si>
    <t>Omar Shakir</t>
  </si>
  <si>
    <t>Omar Shawqi</t>
  </si>
  <si>
    <t>Omar Zaqzuq</t>
  </si>
  <si>
    <t>Omar Zarzur</t>
  </si>
  <si>
    <t>Oqba Alqintar</t>
  </si>
  <si>
    <t>Qasim Muhamad</t>
  </si>
  <si>
    <t>Qays Dahna</t>
  </si>
  <si>
    <t>Rabana Alsaman</t>
  </si>
  <si>
    <t>Rabya Kiwan</t>
  </si>
  <si>
    <t>Rabye' Alzrqawy</t>
  </si>
  <si>
    <t>Rafat Hamza</t>
  </si>
  <si>
    <t>Rafat Musaa</t>
  </si>
  <si>
    <t>Rafif Khalf</t>
  </si>
  <si>
    <t>Raghad Aghasi</t>
  </si>
  <si>
    <t>Raghid Hutayniun</t>
  </si>
  <si>
    <t>Rahaf Alaleppoy</t>
  </si>
  <si>
    <t>Rahaf Eijluni</t>
  </si>
  <si>
    <t>Rahaf Jamul</t>
  </si>
  <si>
    <t>Rahaf Laylanaan</t>
  </si>
  <si>
    <t>Raja Eaziza</t>
  </si>
  <si>
    <t>Rama Alsaghir</t>
  </si>
  <si>
    <t>Rama Asead</t>
  </si>
  <si>
    <t>Ramadan Muhii Aldiyn</t>
  </si>
  <si>
    <t>Rami Abu Adhan</t>
  </si>
  <si>
    <t>Rami Hunun</t>
  </si>
  <si>
    <t>Rami Shanan</t>
  </si>
  <si>
    <t>Ramiz Aleuryan</t>
  </si>
  <si>
    <t>Rana Eijrush</t>
  </si>
  <si>
    <t>Rana Mius</t>
  </si>
  <si>
    <t>Rana Shaeban</t>
  </si>
  <si>
    <t>Randa Alajw</t>
  </si>
  <si>
    <t>Ranim Earabi</t>
  </si>
  <si>
    <t>Rannym Tyru</t>
  </si>
  <si>
    <t>Ranya Alaishhab</t>
  </si>
  <si>
    <t>Ranya Faris</t>
  </si>
  <si>
    <t>Ranya Khuluf</t>
  </si>
  <si>
    <t>Ranya Salah Aldiyn</t>
  </si>
  <si>
    <t>Rasha Alrifaei</t>
  </si>
  <si>
    <t>Rasha Asead</t>
  </si>
  <si>
    <t>Rasha Bajubuj</t>
  </si>
  <si>
    <t>Rasha Naeim</t>
  </si>
  <si>
    <t>Rashad Iidris</t>
  </si>
  <si>
    <t>Rasul Aleumurii</t>
  </si>
  <si>
    <t>Rawan Albaytar</t>
  </si>
  <si>
    <t>Rawan Durkzili</t>
  </si>
  <si>
    <t>Rayid Zazana</t>
  </si>
  <si>
    <t>Razaan Nasif</t>
  </si>
  <si>
    <t>Razan AlAhmad</t>
  </si>
  <si>
    <t>Razan Iybw</t>
  </si>
  <si>
    <t>Razzan Alhusayni</t>
  </si>
  <si>
    <t>Riad Sahalul</t>
  </si>
  <si>
    <t>Ridwan Alshulyan</t>
  </si>
  <si>
    <t>Rim Almusaa</t>
  </si>
  <si>
    <t>Rim Hamdu</t>
  </si>
  <si>
    <t>Rim Huaydi</t>
  </si>
  <si>
    <t>Rim Mia</t>
  </si>
  <si>
    <t>Rima AlAsfar</t>
  </si>
  <si>
    <t>Rima Daly</t>
  </si>
  <si>
    <t>Rima Dwalyby</t>
  </si>
  <si>
    <t>Rima Jaridiun</t>
  </si>
  <si>
    <t>Rinah Alkhuriu</t>
  </si>
  <si>
    <t>Rita Dib</t>
  </si>
  <si>
    <t>Ruaa Mukiin</t>
  </si>
  <si>
    <t>Ruaa Qahraman</t>
  </si>
  <si>
    <t>Ruba Aleid</t>
  </si>
  <si>
    <t>Ruba Alhumwi</t>
  </si>
  <si>
    <t>Ruba Alsiraj</t>
  </si>
  <si>
    <t>Rulaa Shannar</t>
  </si>
  <si>
    <t>Ruyda Alhamadii</t>
  </si>
  <si>
    <t>Rwad Alddahir</t>
  </si>
  <si>
    <t>Rwbyna Iibrahim</t>
  </si>
  <si>
    <t>Rybal Sabagh</t>
  </si>
  <si>
    <t>Rym Alsydawi</t>
  </si>
  <si>
    <t>Sabah Qadish</t>
  </si>
  <si>
    <t>Saed Alsiyah</t>
  </si>
  <si>
    <t>Saeid Mazlum</t>
  </si>
  <si>
    <t>Safa AlAhmar</t>
  </si>
  <si>
    <t>Safa Alshahadat</t>
  </si>
  <si>
    <t>Sahar Almuhamad</t>
  </si>
  <si>
    <t>Sahar Jaridiun</t>
  </si>
  <si>
    <t>Sahar Qisam</t>
  </si>
  <si>
    <t>Salah Aldiyn Altibae</t>
  </si>
  <si>
    <t>Salah Aldiyn Salayk</t>
  </si>
  <si>
    <t>Salah Ramadan</t>
  </si>
  <si>
    <t>Salam Alealbi</t>
  </si>
  <si>
    <t>Salam Alkhatib</t>
  </si>
  <si>
    <t>Sali Musuh</t>
  </si>
  <si>
    <t>Salih Alhamuwd</t>
  </si>
  <si>
    <t>Salih Altawil</t>
  </si>
  <si>
    <t>Salih Dawara</t>
  </si>
  <si>
    <t>Salim Abumaeun</t>
  </si>
  <si>
    <t>Salim Albarghali</t>
  </si>
  <si>
    <t>Salim Aleabd</t>
  </si>
  <si>
    <t>Salwaa Alsyd</t>
  </si>
  <si>
    <t>Samah Alkhatib</t>
  </si>
  <si>
    <t>Samah Almaydanii</t>
  </si>
  <si>
    <t>Samar Alqutb</t>
  </si>
  <si>
    <t>Sami Aldrwysh</t>
  </si>
  <si>
    <t>Sami Alkhayrat</t>
  </si>
  <si>
    <t>Sami Alkhujih</t>
  </si>
  <si>
    <t>Sami Alsyd Ahmad</t>
  </si>
  <si>
    <t>Sami Qareush</t>
  </si>
  <si>
    <t>Samiah Alsaedi</t>
  </si>
  <si>
    <t>Samir Alealiu</t>
  </si>
  <si>
    <t>Samir Alhaj Ali</t>
  </si>
  <si>
    <t>Samir Almisri</t>
  </si>
  <si>
    <t>Samir Alsaeid</t>
  </si>
  <si>
    <t>Samir Alsafdi</t>
  </si>
  <si>
    <t>Samir Altaynawi</t>
  </si>
  <si>
    <t>Samir Sariji</t>
  </si>
  <si>
    <t>Samir Shalish</t>
  </si>
  <si>
    <t>Samirah Jumea</t>
  </si>
  <si>
    <t>Sana Alhusayn</t>
  </si>
  <si>
    <t>Sana Maeruf</t>
  </si>
  <si>
    <t>Sandra Aljurmqaniu</t>
  </si>
  <si>
    <t>Sandurana Antun</t>
  </si>
  <si>
    <t>Sara Tabanaj</t>
  </si>
  <si>
    <t>Sarah Damrani</t>
  </si>
  <si>
    <t>Sarah Haydar</t>
  </si>
  <si>
    <t>Sari Hanna</t>
  </si>
  <si>
    <t>Sarih Eammar</t>
  </si>
  <si>
    <t>Sayban Musur</t>
  </si>
  <si>
    <t>Sayf Aldiyn Alkmshh</t>
  </si>
  <si>
    <t>Shadi Altibae</t>
  </si>
  <si>
    <t>Shadi Qitan</t>
  </si>
  <si>
    <t>Shadi Salayk</t>
  </si>
  <si>
    <t>Shafiq Almalih</t>
  </si>
  <si>
    <t>Shahad Shanan</t>
  </si>
  <si>
    <t>Sharihan Rihan</t>
  </si>
  <si>
    <t>Shilan Ahmad</t>
  </si>
  <si>
    <t>Shuruq Aljuju</t>
  </si>
  <si>
    <t>Sulayman Zinu</t>
  </si>
  <si>
    <t>Sultan Alhijar</t>
  </si>
  <si>
    <t>Sultan Taysir</t>
  </si>
  <si>
    <t>Susin Almilat</t>
  </si>
  <si>
    <t>Suzan Alsawis</t>
  </si>
  <si>
    <t>Tahani Yasir</t>
  </si>
  <si>
    <t>Tala Tuish</t>
  </si>
  <si>
    <t>Tamadur Barghuth</t>
  </si>
  <si>
    <t>Tana Dahruj</t>
  </si>
  <si>
    <t>Tariq Abuzahir</t>
  </si>
  <si>
    <t>Tariq Aldhahabi</t>
  </si>
  <si>
    <t>Tariq Alkinaya</t>
  </si>
  <si>
    <t>Tariq Bryghl</t>
  </si>
  <si>
    <t>Tariq Dw</t>
  </si>
  <si>
    <t>Tariq Salim</t>
  </si>
  <si>
    <t>Tariq Shakir</t>
  </si>
  <si>
    <t>Tariq Shams</t>
  </si>
  <si>
    <t>Tariq Zaeur</t>
  </si>
  <si>
    <t>Thamir Abu Ghazy</t>
  </si>
  <si>
    <t>Thayir Hamuwda</t>
  </si>
  <si>
    <t>Yasmin Eamir</t>
  </si>
  <si>
    <t>Zahir Aleitar</t>
  </si>
  <si>
    <t>Zahir Eisaa</t>
  </si>
  <si>
    <t>Zahir Zarie</t>
  </si>
  <si>
    <t>Zakarian Rashwani</t>
  </si>
  <si>
    <t>Zaydun Jabir</t>
  </si>
  <si>
    <t>Zayn Aleabdyn Zaetar</t>
  </si>
  <si>
    <t>Zaynab Eirat</t>
  </si>
  <si>
    <t>Zunar Eali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</si>
</sst>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164" formatCode="\1&quot;M&quot;"/>
    <numFmt numFmtId="165" formatCode="\1\7&quot;M&quot;"/>
    <numFmt numFmtId="166" formatCode="dd/mm/yyyy;@"/>
    <numFmt numFmtId="167" formatCode="0.0"/>
    <numFmt numFmtId="168" formatCode="\1"/>
    <numFmt numFmtId="169" formatCode="\1&quot;Y&quot;"/>
    <numFmt numFmtId="170" formatCode="[&gt;=1000000]0,,&quot;M&quot;;0,&quot;K&quot;"/>
    <numFmt numFmtId="171" formatCode="0,&quot;K&quot;"/>
    <numFmt numFmtId="172" formatCode="\9\4\4\1&quot;H&quot;"/>
    <numFmt numFmtId="173" formatCode="0&quot;H&quot;"/>
    <numFmt numFmtId="174" formatCode="0\ &quot;Y&quot;"/>
    <numFmt numFmtId="175" formatCode="0.0\ &quot;Days&quot;"/>
    <numFmt numFmtId="176" formatCode="\4&quot;/5&quot;"/>
  </numFmts>
  <fonts count="2">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1"/>
        <bgColor indexed="64"/>
      </patternFill>
    </fill>
    <fill>
      <patternFill patternType="solid">
        <fgColor theme="4" tint="0.79998168889431442"/>
        <bgColor theme="4" tint="0.79998168889431442"/>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s>
  <cellStyleXfs count="1">
    <xf numFmtId="0" fontId="0" fillId="0" borderId="0"/>
  </cellStyleXfs>
  <cellXfs count="28">
    <xf numFmtId="0" fontId="0" fillId="0" borderId="0" xfId="0"/>
    <xf numFmtId="0" fontId="1" fillId="0" borderId="1" xfId="0" applyFont="1" applyBorder="1" applyAlignment="1">
      <alignment horizontal="center" vertical="center"/>
    </xf>
    <xf numFmtId="0" fontId="0" fillId="0" borderId="0" xfId="0" pivotButton="1"/>
    <xf numFmtId="0" fontId="0" fillId="0" borderId="0" xfId="0" applyAlignment="1">
      <alignment horizontal="left"/>
    </xf>
    <xf numFmtId="0" fontId="0" fillId="0" borderId="1" xfId="0" applyBorder="1"/>
    <xf numFmtId="0" fontId="0" fillId="0" borderId="1" xfId="0" pivotButton="1" applyBorder="1"/>
    <xf numFmtId="0" fontId="0" fillId="0" borderId="1" xfId="0" applyBorder="1" applyAlignment="1">
      <alignment horizontal="left"/>
    </xf>
    <xf numFmtId="164" fontId="0" fillId="0" borderId="0" xfId="0" applyNumberFormat="1"/>
    <xf numFmtId="165" fontId="0" fillId="0" borderId="0" xfId="0" applyNumberFormat="1"/>
    <xf numFmtId="2" fontId="0" fillId="0" borderId="0" xfId="0" applyNumberFormat="1"/>
    <xf numFmtId="166" fontId="0" fillId="0" borderId="0" xfId="0" applyNumberFormat="1"/>
    <xf numFmtId="166" fontId="1" fillId="0" borderId="1" xfId="0" applyNumberFormat="1" applyFont="1" applyBorder="1" applyAlignment="1">
      <alignment horizontal="center" vertical="center"/>
    </xf>
    <xf numFmtId="167" fontId="0" fillId="0" borderId="0" xfId="0" applyNumberFormat="1"/>
    <xf numFmtId="0" fontId="0" fillId="2" borderId="0" xfId="0" applyFill="1"/>
    <xf numFmtId="0" fontId="0" fillId="4" borderId="0" xfId="0" applyFill="1"/>
    <xf numFmtId="168" fontId="0" fillId="0" borderId="0" xfId="0" applyNumberFormat="1"/>
    <xf numFmtId="169" fontId="0" fillId="0" borderId="0" xfId="0" applyNumberFormat="1"/>
    <xf numFmtId="40" fontId="0" fillId="0" borderId="0" xfId="0" applyNumberFormat="1"/>
    <xf numFmtId="170" fontId="0" fillId="0" borderId="0" xfId="0" applyNumberFormat="1"/>
    <xf numFmtId="0" fontId="1" fillId="4" borderId="1" xfId="0" applyFont="1" applyFill="1" applyBorder="1" applyAlignment="1">
      <alignment horizontal="center" vertical="center"/>
    </xf>
    <xf numFmtId="171" fontId="0" fillId="0" borderId="0" xfId="0" applyNumberFormat="1"/>
    <xf numFmtId="172" fontId="1" fillId="3" borderId="2" xfId="0" applyNumberFormat="1" applyFont="1" applyFill="1" applyBorder="1"/>
    <xf numFmtId="173" fontId="0" fillId="0" borderId="0" xfId="0" applyNumberFormat="1"/>
    <xf numFmtId="174" fontId="0" fillId="0" borderId="0" xfId="0" applyNumberFormat="1"/>
    <xf numFmtId="1" fontId="0" fillId="0" borderId="0" xfId="0" applyNumberFormat="1"/>
    <xf numFmtId="14" fontId="0" fillId="0" borderId="1" xfId="0" applyNumberFormat="1" applyBorder="1"/>
    <xf numFmtId="175" fontId="0" fillId="0" borderId="0" xfId="0" applyNumberFormat="1"/>
    <xf numFmtId="176" fontId="0" fillId="0" borderId="0" xfId="0" applyNumberFormat="1"/>
  </cellXfs>
  <cellStyles count="1">
    <cellStyle name="عادي" xfId="0" builtinId="0"/>
  </cellStyles>
  <dxfs count="84">
    <dxf>
      <font>
        <b/>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numFmt numFmtId="166"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font>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165" formatCode="\1\7&quot;M&quot;"/>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167" formatCode="0.0"/>
    </dxf>
    <dxf>
      <numFmt numFmtId="164" formatCode="\1&quot;M&quot;"/>
    </dxf>
    <dxf>
      <numFmt numFmtId="0" formatCode="General"/>
    </dxf>
    <dxf>
      <numFmt numFmtId="165" formatCode="\1\7&quot;M&quot;"/>
    </dxf>
    <dxf>
      <numFmt numFmtId="0" formatCode="General"/>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font>
        <b/>
        <sz val="11"/>
        <color theme="1"/>
      </font>
    </dxf>
    <dxf>
      <font>
        <b/>
        <i val="0"/>
        <sz val="16"/>
        <color rgb="FF99FBF9"/>
      </font>
      <fill>
        <patternFill patternType="solid">
          <fgColor theme="0"/>
          <bgColor theme="1"/>
        </patternFill>
      </fill>
      <border diagonalUp="0" diagonalDown="0">
        <left/>
        <right/>
        <top/>
        <bottom/>
        <vertical/>
        <horizontal/>
      </border>
    </dxf>
    <dxf>
      <font>
        <b/>
        <sz val="11"/>
        <color theme="1"/>
      </font>
    </dxf>
    <dxf>
      <font>
        <b/>
        <i val="0"/>
        <sz val="16"/>
        <color rgb="FF99FBF9"/>
        <name val="Aptos ExtraBold"/>
        <family val="2"/>
        <scheme val="none"/>
      </font>
      <fill>
        <patternFill patternType="solid">
          <fgColor theme="0"/>
          <bgColor theme="1"/>
        </patternFill>
      </fill>
      <border diagonalUp="0" diagonalDown="0">
        <left/>
        <right/>
        <top/>
        <bottom/>
        <vertical/>
        <horizontal/>
      </border>
    </dxf>
    <dxf>
      <font>
        <b/>
        <i val="0"/>
        <sz val="16"/>
        <color rgb="FF99FBF9"/>
        <name val="Aptos ExtraBold"/>
        <family val="2"/>
        <scheme val="none"/>
      </font>
      <fill>
        <patternFill>
          <bgColor theme="1"/>
        </patternFill>
      </fill>
      <border diagonalUp="0" diagonalDown="0">
        <left/>
        <right/>
        <top/>
        <bottom/>
        <vertical/>
        <horizontal/>
      </border>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i val="0"/>
        <sz val="16"/>
        <color rgb="FF99FBF9"/>
        <name val="Yu Gothic Medium"/>
        <family val="2"/>
        <scheme val="none"/>
      </font>
      <fill>
        <patternFill patternType="solid">
          <fgColor theme="0"/>
          <bgColor theme="0"/>
        </patternFill>
      </fill>
      <border diagonalUp="0" diagonalDown="0">
        <left/>
        <right/>
        <top/>
        <bottom/>
        <vertical/>
        <horizontal/>
      </border>
    </dxf>
    <dxf>
      <font>
        <b/>
        <sz val="11"/>
        <color theme="1"/>
      </font>
    </dxf>
    <dxf>
      <font>
        <b/>
        <i val="0"/>
        <sz val="14"/>
        <color rgb="FF99FBF9"/>
        <name val="Franklin Gothic Demi Cond"/>
        <family val="2"/>
        <scheme val="none"/>
      </font>
      <fill>
        <patternFill patternType="solid">
          <fgColor theme="0"/>
          <bgColor theme="1"/>
        </patternFill>
      </fill>
      <border diagonalUp="0" diagonalDown="0">
        <left/>
        <right/>
        <top/>
        <bottom/>
        <vertical/>
        <horizontal/>
      </border>
    </dxf>
    <dxf>
      <font>
        <b/>
        <sz val="11"/>
        <color theme="1"/>
      </font>
    </dxf>
    <dxf>
      <font>
        <b/>
        <i val="0"/>
        <sz val="16"/>
        <color rgb="FF99FBF9"/>
        <name val="Franklin Gothic Demi Cond"/>
        <family val="2"/>
        <scheme val="none"/>
      </font>
      <fill>
        <patternFill patternType="solid">
          <fgColor theme="0"/>
          <bgColor theme="1"/>
        </patternFill>
      </fill>
      <border diagonalUp="0" diagonalDown="0">
        <left/>
        <right/>
        <top/>
        <bottom/>
        <vertical/>
        <horizontal/>
      </border>
    </dxf>
    <dxf>
      <fill>
        <patternFill>
          <bgColor theme="0"/>
        </patternFill>
      </fill>
    </dxf>
    <dxf>
      <fill>
        <patternFill>
          <bgColor theme="5"/>
        </patternFill>
      </fill>
      <border diagonalUp="0" diagonalDown="0">
        <left/>
        <right/>
        <top/>
        <bottom/>
        <vertical/>
        <horizontal/>
      </border>
    </dxf>
    <dxf>
      <fill>
        <patternFill>
          <bgColor theme="5"/>
        </patternFill>
      </fill>
    </dxf>
    <dxf>
      <font>
        <b/>
        <i val="0"/>
        <sz val="20"/>
      </font>
    </dxf>
    <dxf>
      <font>
        <b/>
        <i val="0"/>
        <sz val="20"/>
      </font>
    </dxf>
    <dxf>
      <font>
        <b/>
        <i val="0"/>
        <sz val="20"/>
      </font>
    </dxf>
    <dxf>
      <font>
        <b/>
        <i val="0"/>
        <sz val="14"/>
        <color theme="8" tint="0.79998168889431442"/>
        <name val="Franklin Gothic Medium Cond"/>
        <family val="2"/>
        <scheme val="none"/>
      </font>
      <fill>
        <patternFill>
          <bgColor theme="1"/>
        </patternFill>
      </fill>
      <border diagonalUp="0" diagonalDown="0">
        <left/>
        <right/>
        <top/>
        <bottom/>
        <vertical/>
        <horizontal/>
      </border>
    </dxf>
    <dxf>
      <fill>
        <patternFill>
          <bgColor theme="1"/>
        </patternFill>
      </fill>
    </dxf>
    <dxf>
      <font>
        <b/>
        <i val="0"/>
        <sz val="14"/>
        <color theme="8" tint="0.79998168889431442"/>
        <name val="Franklin Gothic Medium"/>
        <family val="2"/>
        <scheme val="none"/>
      </font>
      <fill>
        <patternFill>
          <bgColor theme="1"/>
        </patternFill>
      </fill>
    </dxf>
    <dxf>
      <font>
        <b/>
        <i val="0"/>
        <sz val="20"/>
      </font>
      <fill>
        <patternFill>
          <bgColor theme="5"/>
        </patternFill>
      </fill>
    </dxf>
    <dxf>
      <font>
        <b/>
        <i val="0"/>
        <sz val="16"/>
      </font>
      <fill>
        <patternFill>
          <bgColor theme="1"/>
        </patternFill>
      </fill>
      <border diagonalUp="0" diagonalDown="0">
        <left/>
        <right/>
        <top/>
        <bottom/>
        <vertical/>
        <horizontal/>
      </border>
    </dxf>
    <dxf>
      <font>
        <b/>
        <i val="0"/>
        <sz val="20"/>
        <color theme="8" tint="0.79998168889431442"/>
        <name val="Franklin Gothic Demi Cond"/>
        <family val="2"/>
        <scheme val="none"/>
      </font>
      <fill>
        <patternFill>
          <bgColor theme="1"/>
        </patternFill>
      </fill>
      <border diagonalUp="0" diagonalDown="0">
        <left/>
        <right/>
        <top/>
        <bottom/>
        <vertical/>
        <horizontal/>
      </border>
    </dxf>
    <dxf>
      <font>
        <color theme="8" tint="0.79998168889431442"/>
      </font>
      <fill>
        <patternFill>
          <bgColor theme="1" tint="4.9989318521683403E-2"/>
        </patternFill>
      </fill>
      <border diagonalUp="0" diagonalDown="0">
        <left/>
        <right/>
        <top/>
        <bottom/>
        <vertical/>
        <horizontal/>
      </border>
    </dxf>
    <dxf>
      <font>
        <b/>
        <i val="0"/>
        <sz val="16"/>
        <name val="Franklin Gothic Medium Cond"/>
        <family val="2"/>
        <scheme val="none"/>
      </font>
    </dxf>
    <dxf>
      <font>
        <b/>
        <i val="0"/>
        <sz val="10"/>
        <color theme="0"/>
        <name val="Calibri Light"/>
        <family val="2"/>
        <scheme val="major"/>
      </font>
    </dxf>
    <dxf>
      <font>
        <b/>
        <i val="0"/>
        <sz val="10"/>
        <color theme="0"/>
      </font>
    </dxf>
    <dxf>
      <font>
        <color theme="0"/>
      </font>
      <fill>
        <patternFill>
          <bgColor theme="0"/>
        </patternFill>
      </fill>
    </dxf>
    <dxf>
      <font>
        <b/>
        <i val="0"/>
        <sz val="10"/>
      </font>
      <fill>
        <patternFill>
          <bgColor theme="0"/>
        </patternFill>
      </fill>
      <border diagonalUp="0" diagonalDown="0">
        <left/>
        <right/>
        <top/>
        <bottom/>
        <vertical/>
        <horizontal/>
      </border>
    </dxf>
  </dxfs>
  <tableStyles count="27" defaultTableStyle="TableStyleMedium2" defaultPivotStyle="PivotStyleLight16">
    <tableStyle name="Slicer Style 1" pivot="0" table="0" count="0" xr9:uid="{3A54DFA7-A593-46EB-8AC9-C6418AA1EBC4}"/>
    <tableStyle name="Slicer Style 10" pivot="0" table="0" count="1" xr9:uid="{C7F0F012-EED7-498D-827B-B92D9BF7F0E9}">
      <tableStyleElement type="headerRow" dxfId="83"/>
    </tableStyle>
    <tableStyle name="Slicer Style 11" pivot="0" table="0" count="1" xr9:uid="{B6D59353-CCF0-406E-8D3B-B351358A36E5}">
      <tableStyleElement type="headerRow" dxfId="82"/>
    </tableStyle>
    <tableStyle name="Slicer Style 12" pivot="0" table="0" count="1" xr9:uid="{19BFB4EF-4786-4EFA-9982-3F6517B13837}">
      <tableStyleElement type="headerRow" dxfId="81"/>
    </tableStyle>
    <tableStyle name="Slicer Style 13" pivot="0" table="0" count="1" xr9:uid="{05751B77-1032-493E-AC5D-9013B90DB3C8}">
      <tableStyleElement type="headerRow" dxfId="80"/>
    </tableStyle>
    <tableStyle name="Slicer Style 14" pivot="0" table="0" count="1" xr9:uid="{C708485D-2CAB-4696-A4A3-517363FA01F6}">
      <tableStyleElement type="headerRow" dxfId="79"/>
    </tableStyle>
    <tableStyle name="Slicer Style 15" pivot="0" table="0" count="1" xr9:uid="{3436C9A6-7189-4C78-AAA7-E48D4E3DDBDF}">
      <tableStyleElement type="wholeTable" dxfId="78"/>
    </tableStyle>
    <tableStyle name="Slicer Style 16" pivot="0" table="0" count="1" xr9:uid="{35770F76-D85B-4F71-901D-BF619B5999EE}">
      <tableStyleElement type="wholeTable" dxfId="77"/>
    </tableStyle>
    <tableStyle name="Slicer Style 17" pivot="0" table="0" count="1" xr9:uid="{C12B41B2-B6F4-499D-92B9-B94A507137BE}"/>
    <tableStyle name="Slicer Style 18" pivot="0" table="0" count="1" xr9:uid="{C4FB92F6-CFE2-4775-BA67-C44F06791948}"/>
    <tableStyle name="Slicer Style 19" pivot="0" table="0" count="2" xr9:uid="{B219645D-6082-4E5A-9427-A50E37AE73C8}">
      <tableStyleElement type="wholeTable" dxfId="76"/>
    </tableStyle>
    <tableStyle name="Slicer Style 2" pivot="0" table="0" count="1" xr9:uid="{4D91556D-A373-4D9B-A068-95C7C6CCCE32}">
      <tableStyleElement type="headerRow" dxfId="75"/>
    </tableStyle>
    <tableStyle name="Slicer Style 20" pivot="0" table="0" count="2" xr9:uid="{1BBF1041-2267-487A-BBDC-3AAA0D508750}">
      <tableStyleElement type="headerRow" dxfId="74"/>
    </tableStyle>
    <tableStyle name="Slicer Style 21" pivot="0" table="0" count="3" xr9:uid="{39B9E295-BDB1-4641-B385-DFC70688207C}">
      <tableStyleElement type="wholeTable" dxfId="73"/>
      <tableStyleElement type="headerRow" dxfId="72"/>
    </tableStyle>
    <tableStyle name="Slicer Style 3" pivot="0" table="0" count="1" xr9:uid="{51CEB6DB-07F2-47B1-92A2-F2F4B5BB3ED3}">
      <tableStyleElement type="wholeTable" dxfId="71"/>
    </tableStyle>
    <tableStyle name="Slicer Style 4" pivot="0" table="0" count="0" xr9:uid="{FD61296F-D02B-446B-8B16-CAA4D0C8D270}"/>
    <tableStyle name="Slicer Style 5" pivot="0" table="0" count="1" xr9:uid="{59F8F129-EB6F-4E7A-A950-FE05AB2188AC}">
      <tableStyleElement type="wholeTable" dxfId="70"/>
    </tableStyle>
    <tableStyle name="Slicer Style 6" pivot="0" table="0" count="1" xr9:uid="{5899BAB3-1DCB-4A1F-B7E4-B11BB7F5BC6E}">
      <tableStyleElement type="wholeTable" dxfId="69"/>
    </tableStyle>
    <tableStyle name="Slicer Style 7" pivot="0" table="0" count="1" xr9:uid="{25486800-8D86-4896-9D50-2FF4A7081E97}">
      <tableStyleElement type="headerRow" dxfId="68"/>
    </tableStyle>
    <tableStyle name="Slicer Style 8" pivot="0" table="0" count="1" xr9:uid="{8ABA4290-A6E3-4298-82E2-D850DB02B25C}">
      <tableStyleElement type="wholeTable" dxfId="67"/>
    </tableStyle>
    <tableStyle name="Slicer Style 9" pivot="0" table="0" count="1" xr9:uid="{CD493286-596E-4E64-9D58-DCBDF19F214E}">
      <tableStyleElement type="headerRow" dxfId="66"/>
    </tableStyle>
    <tableStyle name="Timeline Style 1" pivot="0" table="0" count="8" xr9:uid="{4FAED789-D84F-4724-BB40-3F466A857D47}">
      <tableStyleElement type="wholeTable" dxfId="65"/>
      <tableStyleElement type="headerRow" dxfId="64"/>
    </tableStyle>
    <tableStyle name="Timeline Style 2" pivot="0" table="0" count="8" xr9:uid="{87E83E4D-D609-4A4F-8D14-C0D769FFF337}">
      <tableStyleElement type="wholeTable" dxfId="63"/>
      <tableStyleElement type="headerRow" dxfId="62"/>
    </tableStyle>
    <tableStyle name="Timeline Style 3" pivot="0" table="0" count="8" xr9:uid="{26D428B4-0FD3-4AF8-B2D5-E4308BA1525E}">
      <tableStyleElement type="wholeTable" dxfId="61"/>
      <tableStyleElement type="headerRow" dxfId="60"/>
    </tableStyle>
    <tableStyle name="Timeline Style 4" pivot="0" table="0" count="8" xr9:uid="{50E58A82-7982-49AD-9A9B-C004130997CC}">
      <tableStyleElement type="wholeTable" dxfId="59"/>
      <tableStyleElement type="headerRow" dxfId="58"/>
    </tableStyle>
    <tableStyle name="Timeline Style 5" pivot="0" table="0" count="8" xr9:uid="{8CE6E6DC-3356-43A9-862A-7BD21CD31F0D}">
      <tableStyleElement type="wholeTable" dxfId="57"/>
      <tableStyleElement type="headerRow" dxfId="56"/>
    </tableStyle>
    <tableStyle name="Timeline Style 6" pivot="0" table="0" count="8" xr9:uid="{25910034-C409-4E53-85A0-E1124BD761AC}">
      <tableStyleElement type="wholeTable" dxfId="55"/>
      <tableStyleElement type="headerRow" dxfId="54"/>
    </tableStyle>
  </tableStyles>
  <colors>
    <mruColors>
      <color rgb="FF99FBF9"/>
      <color rgb="FF62FEE8"/>
      <color rgb="FF4BFBFB"/>
      <color rgb="FF70F8F8"/>
      <color rgb="FF660066"/>
      <color rgb="FF3A163A"/>
      <color rgb="FF692969"/>
      <color rgb="FF1423B4"/>
      <color rgb="FF4454EA"/>
    </mruColors>
  </colors>
  <extLst>
    <ext xmlns:x14="http://schemas.microsoft.com/office/spreadsheetml/2009/9/main" uri="{46F421CA-312F-682f-3DD2-61675219B42D}">
      <x14:dxfs count="5">
        <dxf>
          <font>
            <b/>
            <i val="0"/>
            <sz val="12"/>
            <color rgb="FF99FBF9"/>
            <name val="Franklin Gothic Demi Cond"/>
            <family val="2"/>
            <scheme val="none"/>
          </font>
          <fill>
            <patternFill>
              <bgColor theme="1"/>
            </patternFill>
          </fill>
          <border diagonalUp="0" diagonalDown="0">
            <left/>
            <right/>
            <top/>
            <bottom/>
            <vertical/>
            <horizontal/>
          </border>
        </dxf>
        <dxf>
          <font>
            <b/>
            <i val="0"/>
            <sz val="16"/>
            <color rgb="FF99FBF9"/>
          </font>
          <fill>
            <patternFill>
              <bgColor theme="8" tint="0.79998168889431442"/>
            </patternFill>
          </fill>
          <border diagonalUp="0" diagonalDown="0">
            <left/>
            <right/>
            <top/>
            <bottom/>
            <vertical/>
            <horizontal/>
          </border>
        </dxf>
        <dxf>
          <font>
            <b/>
            <i val="0"/>
            <sz val="16"/>
            <color rgb="FF99FBF9"/>
          </font>
        </dxf>
        <dxf>
          <font>
            <b/>
            <i val="0"/>
            <sz val="16"/>
            <color rgb="FF99FBF9"/>
          </font>
          <fill>
            <patternFill>
              <bgColor theme="1"/>
            </patternFill>
          </fill>
          <border diagonalUp="0" diagonalDown="0">
            <left/>
            <right/>
            <top/>
            <bottom/>
            <vertical/>
            <horizontal/>
          </border>
        </dxf>
        <dxf>
          <font>
            <b/>
            <i val="0"/>
            <color rgb="FF99FBF9"/>
          </font>
          <fill>
            <patternFill>
              <bgColor theme="1"/>
            </patternFill>
          </fill>
        </dxf>
      </x14:dxfs>
    </ext>
    <ext xmlns:x14="http://schemas.microsoft.com/office/spreadsheetml/2009/9/main" uri="{EB79DEF2-80B8-43e5-95BD-54CBDDF9020C}">
      <x14:slicerStyles defaultSlicerStyle="Slicer Style 12">
        <x14:slicerStyle name="Slicer Style 1"/>
        <x14:slicerStyle name="Slicer Style 10"/>
        <x14:slicerStyle name="Slicer Style 11"/>
        <x14:slicerStyle name="Slicer Style 12"/>
        <x14:slicerStyle name="Slicer Style 13"/>
        <x14:slicerStyle name="Slicer Style 14"/>
        <x14:slicerStyle name="Slicer Style 15"/>
        <x14:slicerStyle name="Slicer Style 16"/>
        <x14:slicerStyle name="Slicer Style 17">
          <x14:slicerStyleElements>
            <x14:slicerStyleElement type="selectedItemWithData" dxfId="4"/>
          </x14:slicerStyleElements>
        </x14:slicerStyle>
        <x14:slicerStyle name="Slicer Style 18">
          <x14:slicerStyleElements>
            <x14:slicerStyleElement type="selectedItemWithData" dxfId="3"/>
          </x14:slicerStyleElements>
        </x14:slicerStyle>
        <x14:slicerStyle name="Slicer Style 19">
          <x14:slicerStyleElements>
            <x14:slicerStyleElement type="selectedItemWithData" dxfId="2"/>
          </x14:slicerStyleElements>
        </x14:slicerStyle>
        <x14:slicerStyle name="Slicer Style 2"/>
        <x14:slicerStyle name="Slicer Style 20">
          <x14:slicerStyleElements>
            <x14:slicerStyleElement type="selectedItemWithData" dxfId="1"/>
          </x14:slicerStyleElements>
        </x14:slicerStyle>
        <x14:slicerStyle name="Slicer Style 21">
          <x14:slicerStyleElements>
            <x14:slicerStyleElement type="selectedItemWithData" dxfId="0"/>
          </x14:slicerStyleElements>
        </x14:slicerStyle>
        <x14:slicerStyle name="Slicer Style 3"/>
        <x14:slicerStyle name="Slicer Style 4"/>
        <x14:slicerStyle name="Slicer Style 5"/>
        <x14:slicerStyle name="Slicer Style 6"/>
        <x14:slicerStyle name="Slicer Style 7"/>
        <x14:slicerStyle name="Slicer Style 8"/>
        <x14:slicerStyle name="Slicer Style 9"/>
      </x14:slicerStyles>
    </ext>
    <ext xmlns:x15="http://schemas.microsoft.com/office/spreadsheetml/2010/11/main" uri="{A0A4C193-F2C1-4fcb-8827-314CF55A85BB}">
      <x15:dxfs count="3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line Style 6">
        <x15:timelineStyle name="Timeline Style 1">
          <x15:timelineStyleElements>
            <x15:timelineStyleElement type="selectionLabel" dxfId="35"/>
            <x15:timelineStyleElement type="timeLevel" dxfId="34"/>
            <x15:timelineStyleElement type="periodLabel1" dxfId="33"/>
            <x15:timelineStyleElement type="periodLabel2" dxfId="32"/>
            <x15:timelineStyleElement type="selectedTimeBlock" dxfId="31"/>
            <x15:timelineStyleElement type="unselectedTimeBlock" dxfId="30"/>
          </x15:timelineStyleElements>
        </x15:timelineStyle>
        <x15:timelineStyle name="Timeline Style 2">
          <x15:timelineStyleElements>
            <x15:timelineStyleElement type="selectionLabel" dxfId="29"/>
            <x15:timelineStyleElement type="timeLevel" dxfId="28"/>
            <x15:timelineStyleElement type="periodLabel1" dxfId="27"/>
            <x15:timelineStyleElement type="periodLabel2" dxfId="26"/>
            <x15:timelineStyleElement type="selectedTimeBlock" dxfId="25"/>
            <x15:timelineStyleElement type="unselectedTimeBlock" dxfId="24"/>
          </x15:timelineStyleElements>
        </x15:timelineStyle>
        <x15:timelineStyle name="Timeline Style 3">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4">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5">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6">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ivotCacheDefinition" Target="pivotCache/pivotCacheDefinition18.xml"/><Relationship Id="rId39" Type="http://schemas.openxmlformats.org/officeDocument/2006/relationships/customXml" Target="../customXml/item2.xml"/><Relationship Id="rId21" Type="http://schemas.openxmlformats.org/officeDocument/2006/relationships/pivotCacheDefinition" Target="pivotCache/pivotCacheDefinition13.xml"/><Relationship Id="rId34" Type="http://schemas.openxmlformats.org/officeDocument/2006/relationships/styles" Target="styles.xml"/><Relationship Id="rId42" Type="http://schemas.openxmlformats.org/officeDocument/2006/relationships/customXml" Target="../customXml/item5.xml"/><Relationship Id="rId47" Type="http://schemas.openxmlformats.org/officeDocument/2006/relationships/customXml" Target="../customXml/item10.xml"/><Relationship Id="rId50" Type="http://schemas.openxmlformats.org/officeDocument/2006/relationships/customXml" Target="../customXml/item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microsoft.com/office/2007/relationships/slicerCache" Target="slicerCaches/slicerCache1.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openxmlformats.org/officeDocument/2006/relationships/theme" Target="theme/theme1.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microsoft.com/office/2007/relationships/slicerCache" Target="slicerCaches/slicerCache3.xml"/><Relationship Id="rId44" Type="http://schemas.openxmlformats.org/officeDocument/2006/relationships/customXml" Target="../customXml/item7.xml"/><Relationship Id="rId52"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microsoft.com/office/2007/relationships/slicerCache" Target="slicerCaches/slicerCache2.xml"/><Relationship Id="rId35" Type="http://schemas.openxmlformats.org/officeDocument/2006/relationships/sharedStrings" Target="sharedStrings.xml"/><Relationship Id="rId43" Type="http://schemas.openxmlformats.org/officeDocument/2006/relationships/customXml" Target="../customXml/item6.xml"/><Relationship Id="rId48" Type="http://schemas.openxmlformats.org/officeDocument/2006/relationships/customXml" Target="../customXml/item11.xml"/><Relationship Id="rId8" Type="http://schemas.openxmlformats.org/officeDocument/2006/relationships/worksheet" Target="worksheets/sheet8.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connections" Target="connections.xml"/><Relationship Id="rId38" Type="http://schemas.openxmlformats.org/officeDocument/2006/relationships/customXml" Target="../customXml/item1.xml"/><Relationship Id="rId46" Type="http://schemas.openxmlformats.org/officeDocument/2006/relationships/customXml" Target="../customXml/item9.xml"/><Relationship Id="rId20" Type="http://schemas.openxmlformats.org/officeDocument/2006/relationships/pivotCacheDefinition" Target="pivotCache/pivotCacheDefinition12.xml"/><Relationship Id="rId41" Type="http://schemas.openxmlformats.org/officeDocument/2006/relationships/customXml" Target="../customXml/item4.xml"/><Relationship Id="rId54"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openxmlformats.org/officeDocument/2006/relationships/powerPivotData" Target="model/item.data"/><Relationship Id="rId49"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Dashboard Project.xlsx]Analysis!PivotTable15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Analysis!$R$52</c:f>
              <c:strCache>
                <c:ptCount val="1"/>
                <c:pt idx="0">
                  <c:v>الإجمالي</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Analysis!$Q$53:$Q$58</c:f>
              <c:strCache>
                <c:ptCount val="5"/>
                <c:pt idx="0">
                  <c:v>2016</c:v>
                </c:pt>
                <c:pt idx="1">
                  <c:v>2017</c:v>
                </c:pt>
                <c:pt idx="2">
                  <c:v>2018</c:v>
                </c:pt>
                <c:pt idx="3">
                  <c:v>2019</c:v>
                </c:pt>
                <c:pt idx="4">
                  <c:v>2020</c:v>
                </c:pt>
              </c:strCache>
            </c:strRef>
          </c:cat>
          <c:val>
            <c:numRef>
              <c:f>Analysis!$R$53:$R$58</c:f>
              <c:numCache>
                <c:formatCode>0</c:formatCode>
                <c:ptCount val="5"/>
                <c:pt idx="0">
                  <c:v>9.6078431372549016</c:v>
                </c:pt>
                <c:pt idx="1">
                  <c:v>8.675324675324676</c:v>
                </c:pt>
                <c:pt idx="2">
                  <c:v>7.6953642384105958</c:v>
                </c:pt>
                <c:pt idx="3">
                  <c:v>6.55241935483871</c:v>
                </c:pt>
                <c:pt idx="4">
                  <c:v>5.5925925925925926</c:v>
                </c:pt>
              </c:numCache>
            </c:numRef>
          </c:val>
          <c:smooth val="0"/>
          <c:extLst>
            <c:ext xmlns:c16="http://schemas.microsoft.com/office/drawing/2014/chart" uri="{C3380CC4-5D6E-409C-BE32-E72D297353CC}">
              <c16:uniqueId val="{00000000-D7C5-45E8-A41F-405DA834845D}"/>
            </c:ext>
          </c:extLst>
        </c:ser>
        <c:dLbls>
          <c:showLegendKey val="0"/>
          <c:showVal val="0"/>
          <c:showCatName val="0"/>
          <c:showSerName val="0"/>
          <c:showPercent val="0"/>
          <c:showBubbleSize val="0"/>
        </c:dLbls>
        <c:marker val="1"/>
        <c:smooth val="0"/>
        <c:axId val="1950960224"/>
        <c:axId val="314985951"/>
      </c:lineChart>
      <c:catAx>
        <c:axId val="19509602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985951"/>
        <c:crosses val="autoZero"/>
        <c:auto val="1"/>
        <c:lblAlgn val="ctr"/>
        <c:lblOffset val="100"/>
        <c:noMultiLvlLbl val="0"/>
      </c:catAx>
      <c:valAx>
        <c:axId val="314985951"/>
        <c:scaling>
          <c:orientation val="minMax"/>
        </c:scaling>
        <c:delete val="1"/>
        <c:axPos val="l"/>
        <c:numFmt formatCode="0" sourceLinked="1"/>
        <c:majorTickMark val="none"/>
        <c:minorTickMark val="none"/>
        <c:tickLblPos val="nextTo"/>
        <c:crossAx val="195096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Dashboard Project.xlsx]Analysis!PivotTable1</c:name>
    <c:fmtId val="57"/>
  </c:pivotSource>
  <c:chart>
    <c:title>
      <c:tx>
        <c:rich>
          <a:bodyPr rot="0" spcFirstLastPara="1" vertOverflow="ellipsis" vert="horz" wrap="square" anchor="ctr" anchorCtr="1"/>
          <a:lstStyle/>
          <a:p>
            <a:pPr>
              <a:defRPr sz="2400" b="1" i="0" u="none" strike="noStrike" kern="1200" cap="all" spc="50" baseline="0">
                <a:solidFill>
                  <a:schemeClr val="tx1">
                    <a:lumMod val="65000"/>
                    <a:lumOff val="35000"/>
                  </a:schemeClr>
                </a:solidFill>
                <a:latin typeface="+mn-lt"/>
                <a:ea typeface="+mn-ea"/>
                <a:cs typeface="+mn-cs"/>
              </a:defRPr>
            </a:pPr>
            <a:r>
              <a:rPr lang="en-GB" sz="2400" b="1" i="0">
                <a:solidFill>
                  <a:schemeClr val="accent5">
                    <a:lumMod val="20000"/>
                    <a:lumOff val="80000"/>
                  </a:schemeClr>
                </a:solidFill>
                <a:effectLst/>
                <a:latin typeface="Franklin Gothic Medium Cond" panose="020B0606030402020204" pitchFamily="34" charset="0"/>
              </a:rPr>
              <a:t>Geographic Distribution of Employees</a:t>
            </a:r>
          </a:p>
          <a:p>
            <a:pPr>
              <a:defRPr sz="2400"/>
            </a:pPr>
            <a:endParaRPr lang="en-US" sz="2400" b="1"/>
          </a:p>
        </c:rich>
      </c:tx>
      <c:overlay val="0"/>
      <c:spPr>
        <a:noFill/>
        <a:ln>
          <a:noFill/>
        </a:ln>
        <a:effectLst/>
      </c:spPr>
      <c:txPr>
        <a:bodyPr rot="0" spcFirstLastPara="1" vertOverflow="ellipsis" vert="horz" wrap="square" anchor="ctr" anchorCtr="1"/>
        <a:lstStyle/>
        <a:p>
          <a:pPr>
            <a:defRPr sz="2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70000"/>
            </a:schemeClr>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rgbClr val="62FEE8">
                  <a:alpha val="72000"/>
                </a:srgbClr>
              </a:gs>
              <a:gs pos="42000">
                <a:srgbClr val="62FEE8">
                  <a:alpha val="41000"/>
                </a:srgbClr>
              </a:gs>
              <a:gs pos="6000">
                <a:srgbClr val="62FEE8">
                  <a:alpha val="11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rgbClr val="62FEE8">
                  <a:alpha val="72000"/>
                </a:srgbClr>
              </a:gs>
              <a:gs pos="42000">
                <a:srgbClr val="62FEE8">
                  <a:alpha val="41000"/>
                </a:srgbClr>
              </a:gs>
              <a:gs pos="6000">
                <a:srgbClr val="62FEE8">
                  <a:alpha val="11000"/>
                </a:srgbClr>
              </a:gs>
            </a:gsLst>
            <a:lin ang="5400000" scaled="1"/>
          </a:gradFill>
          <a:ln>
            <a:noFill/>
          </a:ln>
          <a:effectLst/>
        </c:spPr>
      </c:pivotFmt>
      <c:pivotFmt>
        <c:idx val="4"/>
        <c:spPr>
          <a:gradFill>
            <a:gsLst>
              <a:gs pos="100000">
                <a:srgbClr val="62FEE8">
                  <a:alpha val="72000"/>
                </a:srgbClr>
              </a:gs>
              <a:gs pos="42000">
                <a:srgbClr val="62FEE8">
                  <a:alpha val="41000"/>
                </a:srgbClr>
              </a:gs>
              <a:gs pos="6000">
                <a:srgbClr val="62FEE8">
                  <a:alpha val="11000"/>
                </a:srgbClr>
              </a:gs>
            </a:gsLst>
            <a:lin ang="5400000" scaled="1"/>
          </a:gradFill>
          <a:ln>
            <a:noFill/>
          </a:ln>
          <a:effectLst/>
        </c:spPr>
      </c:pivotFmt>
      <c:pivotFmt>
        <c:idx val="5"/>
        <c:spPr>
          <a:gradFill>
            <a:gsLst>
              <a:gs pos="100000">
                <a:srgbClr val="62FEE8">
                  <a:alpha val="72000"/>
                </a:srgbClr>
              </a:gs>
              <a:gs pos="42000">
                <a:srgbClr val="62FEE8">
                  <a:alpha val="41000"/>
                </a:srgbClr>
              </a:gs>
              <a:gs pos="6000">
                <a:srgbClr val="62FEE8">
                  <a:alpha val="11000"/>
                </a:srgbClr>
              </a:gs>
            </a:gsLst>
            <a:lin ang="5400000" scaled="1"/>
          </a:gradFill>
          <a:ln>
            <a:noFill/>
          </a:ln>
          <a:effectLst/>
        </c:spPr>
      </c:pivotFmt>
      <c:pivotFmt>
        <c:idx val="6"/>
        <c:spPr>
          <a:gradFill>
            <a:gsLst>
              <a:gs pos="100000">
                <a:srgbClr val="62FEE8">
                  <a:alpha val="72000"/>
                </a:srgbClr>
              </a:gs>
              <a:gs pos="42000">
                <a:srgbClr val="62FEE8">
                  <a:alpha val="41000"/>
                </a:srgbClr>
              </a:gs>
              <a:gs pos="6000">
                <a:srgbClr val="62FEE8">
                  <a:alpha val="11000"/>
                </a:srgbClr>
              </a:gs>
            </a:gsLst>
            <a:lin ang="5400000" scaled="1"/>
          </a:gradFill>
          <a:ln>
            <a:noFill/>
          </a:ln>
          <a:effectLst/>
        </c:spPr>
      </c:pivotFmt>
    </c:pivotFmts>
    <c:plotArea>
      <c:layout/>
      <c:barChart>
        <c:barDir val="col"/>
        <c:grouping val="clustered"/>
        <c:varyColors val="0"/>
        <c:ser>
          <c:idx val="0"/>
          <c:order val="0"/>
          <c:tx>
            <c:strRef>
              <c:f>Analysis!$B$1</c:f>
              <c:strCache>
                <c:ptCount val="1"/>
                <c:pt idx="0">
                  <c:v>الإجمالي</c:v>
                </c:pt>
              </c:strCache>
            </c:strRef>
          </c:tx>
          <c:spPr>
            <a:gradFill>
              <a:gsLst>
                <a:gs pos="100000">
                  <a:srgbClr val="62FEE8">
                    <a:alpha val="72000"/>
                  </a:srgbClr>
                </a:gs>
                <a:gs pos="42000">
                  <a:srgbClr val="62FEE8">
                    <a:alpha val="41000"/>
                  </a:srgbClr>
                </a:gs>
                <a:gs pos="6000">
                  <a:srgbClr val="62FEE8">
                    <a:alpha val="11000"/>
                  </a:srgb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Analysis!$A$2:$A$7</c:f>
              <c:strCache>
                <c:ptCount val="5"/>
                <c:pt idx="0">
                  <c:v>Lebanon</c:v>
                </c:pt>
                <c:pt idx="1">
                  <c:v>Syria</c:v>
                </c:pt>
                <c:pt idx="2">
                  <c:v>Saudi Arabia</c:v>
                </c:pt>
                <c:pt idx="3">
                  <c:v>United Arab Emirates</c:v>
                </c:pt>
                <c:pt idx="4">
                  <c:v>Egypt</c:v>
                </c:pt>
              </c:strCache>
            </c:strRef>
          </c:cat>
          <c:val>
            <c:numRef>
              <c:f>Analysis!$B$2:$B$7</c:f>
              <c:numCache>
                <c:formatCode>General</c:formatCode>
                <c:ptCount val="5"/>
                <c:pt idx="0">
                  <c:v>11</c:v>
                </c:pt>
                <c:pt idx="1">
                  <c:v>53</c:v>
                </c:pt>
                <c:pt idx="2">
                  <c:v>90</c:v>
                </c:pt>
                <c:pt idx="3">
                  <c:v>156</c:v>
                </c:pt>
                <c:pt idx="4">
                  <c:v>379</c:v>
                </c:pt>
              </c:numCache>
            </c:numRef>
          </c:val>
          <c:extLst>
            <c:ext xmlns:c16="http://schemas.microsoft.com/office/drawing/2014/chart" uri="{C3380CC4-5D6E-409C-BE32-E72D297353CC}">
              <c16:uniqueId val="{00000000-E330-4192-9459-528105FA1D3F}"/>
            </c:ext>
          </c:extLst>
        </c:ser>
        <c:dLbls>
          <c:dLblPos val="outEnd"/>
          <c:showLegendKey val="0"/>
          <c:showVal val="1"/>
          <c:showCatName val="0"/>
          <c:showSerName val="0"/>
          <c:showPercent val="0"/>
          <c:showBubbleSize val="0"/>
        </c:dLbls>
        <c:gapWidth val="50"/>
        <c:axId val="583319008"/>
        <c:axId val="314991231"/>
      </c:barChart>
      <c:catAx>
        <c:axId val="583319008"/>
        <c:scaling>
          <c:orientation val="minMax"/>
        </c:scaling>
        <c:delete val="0"/>
        <c:axPos val="b"/>
        <c:numFmt formatCode="General" sourceLinked="1"/>
        <c:majorTickMark val="none"/>
        <c:minorTickMark val="none"/>
        <c:tickLblPos val="nextTo"/>
        <c:spPr>
          <a:noFill/>
          <a:ln w="9525" cap="flat" cmpd="sng" algn="ctr">
            <a:noFill/>
            <a:round/>
            <a:headEnd type="none" w="sm" len="sm"/>
            <a:tailEnd type="none" w="sm" len="sm"/>
          </a:ln>
          <a:effectLst/>
        </c:spPr>
        <c:txPr>
          <a:bodyPr rot="-60000000" spcFirstLastPara="1" vertOverflow="ellipsis" vert="horz" wrap="square" anchor="ctr" anchorCtr="1"/>
          <a:lstStyle/>
          <a:p>
            <a:pPr>
              <a:defRPr sz="1600" b="1" i="0" u="none" strike="noStrike" kern="1200" baseline="0">
                <a:solidFill>
                  <a:schemeClr val="accent5">
                    <a:lumMod val="20000"/>
                    <a:lumOff val="80000"/>
                  </a:schemeClr>
                </a:solidFill>
                <a:latin typeface="+mn-lt"/>
                <a:ea typeface="+mn-ea"/>
                <a:cs typeface="+mn-cs"/>
              </a:defRPr>
            </a:pPr>
            <a:endParaRPr lang="en-US"/>
          </a:p>
        </c:txPr>
        <c:crossAx val="314991231"/>
        <c:crosses val="autoZero"/>
        <c:auto val="1"/>
        <c:lblAlgn val="ctr"/>
        <c:lblOffset val="100"/>
        <c:noMultiLvlLbl val="0"/>
      </c:catAx>
      <c:valAx>
        <c:axId val="314991231"/>
        <c:scaling>
          <c:orientation val="minMax"/>
        </c:scaling>
        <c:delete val="1"/>
        <c:axPos val="l"/>
        <c:numFmt formatCode="General" sourceLinked="1"/>
        <c:majorTickMark val="none"/>
        <c:minorTickMark val="none"/>
        <c:tickLblPos val="nextTo"/>
        <c:crossAx val="58331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Dashboard Project.xlsx]Analysis!PivotTable6</c:name>
    <c:fmtId val="3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chemeClr val="accent5">
                    <a:lumMod val="20000"/>
                    <a:lumOff val="80000"/>
                  </a:schemeClr>
                </a:solidFill>
                <a:latin typeface="+mn-lt"/>
                <a:ea typeface="+mn-ea"/>
                <a:cs typeface="+mn-cs"/>
              </a:defRPr>
            </a:pPr>
            <a:r>
              <a:rPr lang="en-GB" sz="2400" b="1" i="0">
                <a:solidFill>
                  <a:schemeClr val="accent5">
                    <a:lumMod val="20000"/>
                    <a:lumOff val="80000"/>
                  </a:schemeClr>
                </a:solidFill>
                <a:effectLst/>
                <a:latin typeface="Franklin Gothic Medium Cond" panose="020B0606030402020204" pitchFamily="34" charset="0"/>
              </a:rPr>
              <a:t>Gender Distribution</a:t>
            </a: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accent5">
                    <a:lumMod val="20000"/>
                    <a:lumOff val="80000"/>
                  </a:schemeClr>
                </a:solidFill>
              </a:defRPr>
            </a:pPr>
            <a:endParaRPr lang="en-US">
              <a:solidFill>
                <a:schemeClr val="accent5">
                  <a:lumMod val="20000"/>
                  <a:lumOff val="80000"/>
                </a:schemeClr>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chemeClr val="accent5">
                  <a:lumMod val="20000"/>
                  <a:lumOff val="80000"/>
                </a:schemeClr>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rgbClr val="62FEE8">
              <a:alpha val="96000"/>
            </a:srgbClr>
          </a:solidFill>
          <a:ln w="19050">
            <a:noFill/>
          </a:ln>
          <a:effectLst>
            <a:outerShdw blurRad="50800" dist="50800" dir="5400000" algn="ctr" rotWithShape="0">
              <a:srgbClr val="000000">
                <a:alpha val="7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20000"/>
                      <a:lumOff val="8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62FEE8">
              <a:alpha val="96000"/>
            </a:srgbClr>
          </a:solidFill>
          <a:ln w="19050">
            <a:noFill/>
          </a:ln>
          <a:effectLst>
            <a:outerShdw blurRad="50800" dist="50800" dir="5400000" algn="ctr" rotWithShape="0">
              <a:srgbClr val="000000">
                <a:alpha val="75000"/>
              </a:srgbClr>
            </a:outerShdw>
          </a:effectLst>
        </c:spPr>
        <c:dLbl>
          <c:idx val="0"/>
          <c:layout>
            <c:manualLayout>
              <c:x val="0.1299352734253845"/>
              <c:y val="-0.1324817746678156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20000"/>
                      <a:lumOff val="8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gradFill>
            <a:gsLst>
              <a:gs pos="40000">
                <a:srgbClr val="62FEE8">
                  <a:alpha val="72000"/>
                </a:srgbClr>
              </a:gs>
              <a:gs pos="0">
                <a:srgbClr val="62FEE8"/>
              </a:gs>
              <a:gs pos="11000">
                <a:srgbClr val="62FEE8"/>
              </a:gs>
            </a:gsLst>
            <a:lin ang="5400000" scaled="1"/>
          </a:gradFill>
          <a:ln w="19050">
            <a:noFill/>
          </a:ln>
          <a:effectLst>
            <a:outerShdw blurRad="50800" dist="50800" dir="5400000" algn="ctr" rotWithShape="0">
              <a:srgbClr val="000000">
                <a:alpha val="75000"/>
              </a:srgbClr>
            </a:outerShdw>
          </a:effectLst>
        </c:spPr>
        <c:dLbl>
          <c:idx val="0"/>
          <c:layout>
            <c:manualLayout>
              <c:x val="-0.1744336547354477"/>
              <c:y val="-6.0218988485370738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20000"/>
                      <a:lumOff val="8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4331377133101737"/>
          <c:y val="0.20543210048257379"/>
          <c:w val="0.30625271632835516"/>
          <c:h val="0.69074530560583458"/>
        </c:manualLayout>
      </c:layout>
      <c:doughnutChart>
        <c:varyColors val="1"/>
        <c:ser>
          <c:idx val="0"/>
          <c:order val="0"/>
          <c:tx>
            <c:strRef>
              <c:f>Analysis!$B$9</c:f>
              <c:strCache>
                <c:ptCount val="1"/>
                <c:pt idx="0">
                  <c:v>الإجمالي</c:v>
                </c:pt>
              </c:strCache>
            </c:strRef>
          </c:tx>
          <c:spPr>
            <a:solidFill>
              <a:srgbClr val="62FEE8">
                <a:alpha val="96000"/>
              </a:srgbClr>
            </a:solidFill>
            <a:ln w="19050">
              <a:noFill/>
            </a:ln>
            <a:effectLst>
              <a:outerShdw blurRad="50800" dist="50800" dir="5400000" algn="ctr" rotWithShape="0">
                <a:srgbClr val="000000">
                  <a:alpha val="75000"/>
                </a:srgbClr>
              </a:outerShdw>
            </a:effectLst>
          </c:spPr>
          <c:dPt>
            <c:idx val="0"/>
            <c:bubble3D val="0"/>
            <c:spPr>
              <a:solidFill>
                <a:srgbClr val="62FEE8">
                  <a:alpha val="96000"/>
                </a:srgbClr>
              </a:solidFill>
              <a:ln w="19050">
                <a:noFill/>
              </a:ln>
              <a:effectLst>
                <a:outerShdw blurRad="50800" dist="50800" dir="5400000" algn="ctr" rotWithShape="0">
                  <a:srgbClr val="000000">
                    <a:alpha val="75000"/>
                  </a:srgbClr>
                </a:outerShdw>
              </a:effectLst>
            </c:spPr>
            <c:extLst>
              <c:ext xmlns:c16="http://schemas.microsoft.com/office/drawing/2014/chart" uri="{C3380CC4-5D6E-409C-BE32-E72D297353CC}">
                <c16:uniqueId val="{00000001-CDD5-4E3B-904B-48FED6B4C60B}"/>
              </c:ext>
            </c:extLst>
          </c:dPt>
          <c:dPt>
            <c:idx val="1"/>
            <c:bubble3D val="0"/>
            <c:spPr>
              <a:gradFill>
                <a:gsLst>
                  <a:gs pos="40000">
                    <a:srgbClr val="62FEE8">
                      <a:alpha val="72000"/>
                    </a:srgbClr>
                  </a:gs>
                  <a:gs pos="0">
                    <a:srgbClr val="62FEE8"/>
                  </a:gs>
                  <a:gs pos="11000">
                    <a:srgbClr val="62FEE8"/>
                  </a:gs>
                </a:gsLst>
                <a:lin ang="5400000" scaled="1"/>
              </a:gradFill>
              <a:ln w="19050">
                <a:noFill/>
              </a:ln>
              <a:effectLst>
                <a:outerShdw blurRad="50800" dist="50800" dir="5400000" algn="ctr" rotWithShape="0">
                  <a:srgbClr val="000000">
                    <a:alpha val="75000"/>
                  </a:srgbClr>
                </a:outerShdw>
              </a:effectLst>
            </c:spPr>
            <c:extLst>
              <c:ext xmlns:c16="http://schemas.microsoft.com/office/drawing/2014/chart" uri="{C3380CC4-5D6E-409C-BE32-E72D297353CC}">
                <c16:uniqueId val="{00000003-CDD5-4E3B-904B-48FED6B4C60B}"/>
              </c:ext>
            </c:extLst>
          </c:dPt>
          <c:dLbls>
            <c:dLbl>
              <c:idx val="0"/>
              <c:layout>
                <c:manualLayout>
                  <c:x val="0.1299352734253845"/>
                  <c:y val="-0.1324817746678156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DD5-4E3B-904B-48FED6B4C60B}"/>
                </c:ext>
              </c:extLst>
            </c:dLbl>
            <c:dLbl>
              <c:idx val="1"/>
              <c:layout>
                <c:manualLayout>
                  <c:x val="-0.1744336547354477"/>
                  <c:y val="-6.021898848537073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DD5-4E3B-904B-48FED6B4C60B}"/>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20000"/>
                        <a:lumOff val="80000"/>
                      </a:schemeClr>
                    </a:solidFill>
                    <a:latin typeface="+mn-lt"/>
                    <a:ea typeface="+mn-ea"/>
                    <a:cs typeface="+mn-cs"/>
                  </a:defRPr>
                </a:pPr>
                <a:endParaRPr lang="en-US"/>
              </a:p>
            </c:txPr>
            <c:showLegendKey val="0"/>
            <c:showVal val="0"/>
            <c:showCatName val="1"/>
            <c:showSerName val="0"/>
            <c:showPercent val="1"/>
            <c:showBubbleSize val="0"/>
            <c:showLeaderLines val="1"/>
            <c:leaderLines>
              <c:spPr>
                <a:ln w="6350" cap="flat" cmpd="sng" algn="ctr">
                  <a:solidFill>
                    <a:schemeClr val="bg1"/>
                  </a:solidFill>
                  <a:prstDash val="solid"/>
                  <a:miter lim="800000"/>
                </a:ln>
                <a:effectLst/>
              </c:spPr>
            </c:leaderLines>
            <c:extLst>
              <c:ext xmlns:c15="http://schemas.microsoft.com/office/drawing/2012/chart" uri="{CE6537A1-D6FC-4f65-9D91-7224C49458BB}"/>
            </c:extLst>
          </c:dLbls>
          <c:cat>
            <c:strRef>
              <c:f>Analysis!$A$10:$A$12</c:f>
              <c:strCache>
                <c:ptCount val="2"/>
                <c:pt idx="0">
                  <c:v>Female</c:v>
                </c:pt>
                <c:pt idx="1">
                  <c:v>Male</c:v>
                </c:pt>
              </c:strCache>
            </c:strRef>
          </c:cat>
          <c:val>
            <c:numRef>
              <c:f>Analysis!$B$10:$B$12</c:f>
              <c:numCache>
                <c:formatCode>General</c:formatCode>
                <c:ptCount val="2"/>
                <c:pt idx="0">
                  <c:v>80941</c:v>
                </c:pt>
                <c:pt idx="1">
                  <c:v>156764</c:v>
                </c:pt>
              </c:numCache>
            </c:numRef>
          </c:val>
          <c:extLst>
            <c:ext xmlns:c16="http://schemas.microsoft.com/office/drawing/2014/chart" uri="{C3380CC4-5D6E-409C-BE32-E72D297353CC}">
              <c16:uniqueId val="{00000004-CDD5-4E3B-904B-48FED6B4C60B}"/>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Dashboard Project.xlsx]Analysis!PivotTable7</c:name>
    <c:fmtId val="6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sz="1800" b="1" i="0">
                <a:solidFill>
                  <a:schemeClr val="accent5">
                    <a:lumMod val="20000"/>
                    <a:lumOff val="80000"/>
                  </a:schemeClr>
                </a:solidFill>
                <a:effectLst/>
              </a:rPr>
              <a:t>Department-wise Employee Distribution</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37000">
                <a:srgbClr val="62FEE8">
                  <a:alpha val="44000"/>
                  <a:lumMod val="99000"/>
                </a:srgbClr>
              </a:gs>
              <a:gs pos="100000">
                <a:srgbClr val="99FBF9">
                  <a:alpha val="72000"/>
                  <a:lumMod val="100000"/>
                </a:srgbClr>
              </a:gs>
              <a:gs pos="6000">
                <a:srgbClr val="62FEE8">
                  <a:alpha val="11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accent5">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Analysis!$J$1</c:f>
              <c:strCache>
                <c:ptCount val="1"/>
                <c:pt idx="0">
                  <c:v>الإجمالي</c:v>
                </c:pt>
              </c:strCache>
            </c:strRef>
          </c:tx>
          <c:spPr>
            <a:gradFill>
              <a:gsLst>
                <a:gs pos="37000">
                  <a:srgbClr val="62FEE8">
                    <a:alpha val="44000"/>
                    <a:lumMod val="99000"/>
                  </a:srgbClr>
                </a:gs>
                <a:gs pos="100000">
                  <a:srgbClr val="99FBF9">
                    <a:alpha val="72000"/>
                    <a:lumMod val="100000"/>
                  </a:srgbClr>
                </a:gs>
                <a:gs pos="6000">
                  <a:srgbClr val="62FEE8">
                    <a:alpha val="11000"/>
                  </a:srgb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accent5">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Analysis!$I$2:$I$7</c:f>
              <c:strCache>
                <c:ptCount val="5"/>
                <c:pt idx="0">
                  <c:v>Facilities/Engineering</c:v>
                </c:pt>
                <c:pt idx="1">
                  <c:v>Quality Assurance</c:v>
                </c:pt>
                <c:pt idx="2">
                  <c:v>Account Management</c:v>
                </c:pt>
                <c:pt idx="3">
                  <c:v>Quality Control</c:v>
                </c:pt>
                <c:pt idx="4">
                  <c:v>Manufacturing</c:v>
                </c:pt>
              </c:strCache>
            </c:strRef>
          </c:cat>
          <c:val>
            <c:numRef>
              <c:f>Analysis!$J$2:$J$7</c:f>
              <c:numCache>
                <c:formatCode>General</c:formatCode>
                <c:ptCount val="5"/>
                <c:pt idx="0">
                  <c:v>58</c:v>
                </c:pt>
                <c:pt idx="1">
                  <c:v>67</c:v>
                </c:pt>
                <c:pt idx="2">
                  <c:v>84</c:v>
                </c:pt>
                <c:pt idx="3">
                  <c:v>89</c:v>
                </c:pt>
                <c:pt idx="4">
                  <c:v>140</c:v>
                </c:pt>
              </c:numCache>
            </c:numRef>
          </c:val>
          <c:extLst>
            <c:ext xmlns:c16="http://schemas.microsoft.com/office/drawing/2014/chart" uri="{C3380CC4-5D6E-409C-BE32-E72D297353CC}">
              <c16:uniqueId val="{00000000-C0C2-4F57-8AE1-4F1145BB6CE6}"/>
            </c:ext>
          </c:extLst>
        </c:ser>
        <c:dLbls>
          <c:dLblPos val="outEnd"/>
          <c:showLegendKey val="0"/>
          <c:showVal val="1"/>
          <c:showCatName val="0"/>
          <c:showSerName val="0"/>
          <c:showPercent val="0"/>
          <c:showBubbleSize val="0"/>
        </c:dLbls>
        <c:gapWidth val="29"/>
        <c:overlap val="-100"/>
        <c:axId val="1735955344"/>
        <c:axId val="314993631"/>
      </c:barChart>
      <c:catAx>
        <c:axId val="173595534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cap="all" spc="120" normalizeH="0" baseline="0">
                <a:solidFill>
                  <a:schemeClr val="accent5">
                    <a:lumMod val="20000"/>
                    <a:lumOff val="80000"/>
                  </a:schemeClr>
                </a:solidFill>
                <a:latin typeface="+mn-lt"/>
                <a:ea typeface="+mn-ea"/>
                <a:cs typeface="+mn-cs"/>
              </a:defRPr>
            </a:pPr>
            <a:endParaRPr lang="en-US"/>
          </a:p>
        </c:txPr>
        <c:crossAx val="314993631"/>
        <c:crosses val="autoZero"/>
        <c:auto val="1"/>
        <c:lblAlgn val="ctr"/>
        <c:lblOffset val="100"/>
        <c:noMultiLvlLbl val="0"/>
      </c:catAx>
      <c:valAx>
        <c:axId val="314993631"/>
        <c:scaling>
          <c:orientation val="minMax"/>
        </c:scaling>
        <c:delete val="1"/>
        <c:axPos val="b"/>
        <c:numFmt formatCode="General" sourceLinked="1"/>
        <c:majorTickMark val="none"/>
        <c:minorTickMark val="none"/>
        <c:tickLblPos val="nextTo"/>
        <c:crossAx val="173595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Dashboard Project.xlsx]Analysis!PivotTable13</c:name>
    <c:fmtId val="4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GB" sz="2400" b="1" i="0">
                <a:solidFill>
                  <a:schemeClr val="accent5">
                    <a:lumMod val="20000"/>
                    <a:lumOff val="80000"/>
                  </a:schemeClr>
                </a:solidFill>
                <a:effectLst/>
              </a:rPr>
              <a:t>Employees by Region</a:t>
            </a:r>
          </a:p>
        </c:rich>
      </c:tx>
      <c:overlay val="0"/>
      <c:spPr>
        <a:noFill/>
        <a:ln>
          <a:noFill/>
        </a:ln>
        <a:effectLst/>
      </c:sp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
        <c:idx val="7"/>
        <c:spPr>
          <a:gradFill>
            <a:gsLst>
              <a:gs pos="75000">
                <a:srgbClr val="C5E3E3">
                  <a:alpha val="81000"/>
                </a:srgbClr>
              </a:gs>
              <a:gs pos="0">
                <a:srgbClr val="99FBF9"/>
              </a:gs>
            </a:gsLst>
            <a:lin ang="5400000" scaled="1"/>
          </a:gradFill>
          <a:ln w="19050">
            <a:noFill/>
          </a:ln>
          <a:effectLst>
            <a:outerShdw blurRad="50800" dist="50800" dir="5400000" sx="15000" sy="15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20000"/>
                      <a:lumOff val="80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gradFill>
            <a:gsLst>
              <a:gs pos="75000">
                <a:srgbClr val="C5E3E3">
                  <a:alpha val="81000"/>
                </a:srgbClr>
              </a:gs>
              <a:gs pos="0">
                <a:srgbClr val="99FBF9"/>
              </a:gs>
            </a:gsLst>
            <a:lin ang="5400000" scaled="1"/>
          </a:gradFill>
          <a:ln w="19050">
            <a:noFill/>
          </a:ln>
          <a:effectLst>
            <a:outerShdw blurRad="50800" dist="50800" dir="5400000" sx="15000" sy="15000" algn="ctr" rotWithShape="0">
              <a:srgbClr val="000000">
                <a:alpha val="43137"/>
              </a:srgbClr>
            </a:outerShdw>
          </a:effectLst>
        </c:spPr>
        <c:dLbl>
          <c:idx val="0"/>
          <c:layout>
            <c:manualLayout>
              <c:x val="0.14774168142975516"/>
              <c:y val="0.12871785864164279"/>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20000"/>
                      <a:lumOff val="8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gradFill>
            <a:gsLst>
              <a:gs pos="75000">
                <a:srgbClr val="C5E3E3">
                  <a:alpha val="81000"/>
                </a:srgbClr>
              </a:gs>
              <a:gs pos="0">
                <a:srgbClr val="99FBF9"/>
              </a:gs>
            </a:gsLst>
            <a:lin ang="5400000" scaled="1"/>
          </a:gradFill>
          <a:ln w="19050">
            <a:noFill/>
          </a:ln>
          <a:effectLst>
            <a:outerShdw blurRad="50800" dist="50800" dir="5400000" sx="15000" sy="15000" algn="ctr" rotWithShape="0">
              <a:srgbClr val="000000">
                <a:alpha val="43137"/>
              </a:srgbClr>
            </a:outerShdw>
          </a:effectLst>
        </c:spPr>
        <c:dLbl>
          <c:idx val="0"/>
          <c:layout>
            <c:manualLayout>
              <c:x val="8.126310519146028E-2"/>
              <c:y val="6.8044446668675096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20000"/>
                      <a:lumOff val="8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gradFill>
            <a:gsLst>
              <a:gs pos="75000">
                <a:srgbClr val="C5E3E3">
                  <a:alpha val="81000"/>
                </a:srgbClr>
              </a:gs>
              <a:gs pos="0">
                <a:srgbClr val="99FBF9"/>
              </a:gs>
            </a:gsLst>
            <a:lin ang="5400000" scaled="1"/>
          </a:gradFill>
          <a:ln w="19050">
            <a:noFill/>
          </a:ln>
          <a:effectLst>
            <a:outerShdw blurRad="50800" dist="50800" dir="5400000" sx="15000" sy="15000" algn="ctr" rotWithShape="0">
              <a:srgbClr val="000000">
                <a:alpha val="43137"/>
              </a:srgbClr>
            </a:outerShdw>
          </a:effectLst>
        </c:spPr>
        <c:dLbl>
          <c:idx val="0"/>
          <c:layout>
            <c:manualLayout>
              <c:x val="-0.12597593989633707"/>
              <c:y val="-8.730988143869775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20000"/>
                      <a:lumOff val="8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gradFill>
            <a:gsLst>
              <a:gs pos="75000">
                <a:srgbClr val="C5E3E3">
                  <a:alpha val="81000"/>
                </a:srgbClr>
              </a:gs>
              <a:gs pos="0">
                <a:srgbClr val="99FBF9"/>
              </a:gs>
            </a:gsLst>
            <a:lin ang="5400000" scaled="1"/>
          </a:gradFill>
          <a:ln w="19050">
            <a:noFill/>
          </a:ln>
          <a:effectLst>
            <a:outerShdw blurRad="50800" dist="50800" dir="5400000" sx="15000" sy="15000" algn="ctr" rotWithShape="0">
              <a:srgbClr val="000000">
                <a:alpha val="43137"/>
              </a:srgbClr>
            </a:outerShdw>
          </a:effectLst>
        </c:spPr>
        <c:dLbl>
          <c:idx val="0"/>
          <c:layout>
            <c:manualLayout>
              <c:x val="-0.13392470961865091"/>
              <c:y val="3.2052143814823568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20000"/>
                      <a:lumOff val="8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gradFill>
            <a:gsLst>
              <a:gs pos="75000">
                <a:srgbClr val="C5E3E3">
                  <a:alpha val="81000"/>
                </a:srgbClr>
              </a:gs>
              <a:gs pos="0">
                <a:srgbClr val="99FBF9"/>
              </a:gs>
            </a:gsLst>
            <a:lin ang="5400000" scaled="1"/>
          </a:gradFill>
          <a:ln w="19050">
            <a:noFill/>
          </a:ln>
          <a:effectLst>
            <a:outerShdw blurRad="50800" dist="50800" dir="5400000" sx="15000" sy="15000" algn="ctr" rotWithShape="0">
              <a:srgbClr val="000000">
                <a:alpha val="43137"/>
              </a:srgbClr>
            </a:outerShdw>
          </a:effectLst>
        </c:spPr>
        <c:dLbl>
          <c:idx val="0"/>
          <c:layout>
            <c:manualLayout>
              <c:x val="-0.14178266236275811"/>
              <c:y val="0.1263883042106320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accent5">
                      <a:lumMod val="20000"/>
                      <a:lumOff val="8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pieChart>
        <c:varyColors val="1"/>
        <c:ser>
          <c:idx val="0"/>
          <c:order val="0"/>
          <c:tx>
            <c:strRef>
              <c:f>Analysis!$N$8</c:f>
              <c:strCache>
                <c:ptCount val="1"/>
                <c:pt idx="0">
                  <c:v>الإجمالي</c:v>
                </c:pt>
              </c:strCache>
            </c:strRef>
          </c:tx>
          <c:spPr>
            <a:gradFill>
              <a:gsLst>
                <a:gs pos="75000">
                  <a:srgbClr val="C5E3E3">
                    <a:alpha val="81000"/>
                  </a:srgbClr>
                </a:gs>
                <a:gs pos="0">
                  <a:srgbClr val="99FBF9"/>
                </a:gs>
              </a:gsLst>
              <a:lin ang="5400000" scaled="1"/>
            </a:gradFill>
            <a:ln w="19050">
              <a:noFill/>
            </a:ln>
            <a:effectLst>
              <a:outerShdw blurRad="50800" dist="50800" dir="5400000" sx="15000" sy="15000" algn="ctr" rotWithShape="0">
                <a:srgbClr val="000000">
                  <a:alpha val="43137"/>
                </a:srgbClr>
              </a:outerShdw>
            </a:effectLst>
          </c:spPr>
          <c:dPt>
            <c:idx val="0"/>
            <c:bubble3D val="0"/>
            <c:extLst>
              <c:ext xmlns:c16="http://schemas.microsoft.com/office/drawing/2014/chart" uri="{C3380CC4-5D6E-409C-BE32-E72D297353CC}">
                <c16:uniqueId val="{00000001-78C5-4DFD-911A-3F9FE9304B5A}"/>
              </c:ext>
            </c:extLst>
          </c:dPt>
          <c:dPt>
            <c:idx val="1"/>
            <c:bubble3D val="0"/>
            <c:extLst>
              <c:ext xmlns:c16="http://schemas.microsoft.com/office/drawing/2014/chart" uri="{C3380CC4-5D6E-409C-BE32-E72D297353CC}">
                <c16:uniqueId val="{00000003-78C5-4DFD-911A-3F9FE9304B5A}"/>
              </c:ext>
            </c:extLst>
          </c:dPt>
          <c:dPt>
            <c:idx val="2"/>
            <c:bubble3D val="0"/>
            <c:extLst>
              <c:ext xmlns:c16="http://schemas.microsoft.com/office/drawing/2014/chart" uri="{C3380CC4-5D6E-409C-BE32-E72D297353CC}">
                <c16:uniqueId val="{00000005-78C5-4DFD-911A-3F9FE9304B5A}"/>
              </c:ext>
            </c:extLst>
          </c:dPt>
          <c:dPt>
            <c:idx val="3"/>
            <c:bubble3D val="0"/>
            <c:extLst>
              <c:ext xmlns:c16="http://schemas.microsoft.com/office/drawing/2014/chart" uri="{C3380CC4-5D6E-409C-BE32-E72D297353CC}">
                <c16:uniqueId val="{00000007-78C5-4DFD-911A-3F9FE9304B5A}"/>
              </c:ext>
            </c:extLst>
          </c:dPt>
          <c:dPt>
            <c:idx val="4"/>
            <c:bubble3D val="0"/>
            <c:extLst>
              <c:ext xmlns:c16="http://schemas.microsoft.com/office/drawing/2014/chart" uri="{C3380CC4-5D6E-409C-BE32-E72D297353CC}">
                <c16:uniqueId val="{00000009-78C5-4DFD-911A-3F9FE9304B5A}"/>
              </c:ext>
            </c:extLst>
          </c:dPt>
          <c:dLbls>
            <c:dLbl>
              <c:idx val="0"/>
              <c:layout>
                <c:manualLayout>
                  <c:x val="0.14774168142975516"/>
                  <c:y val="0.1287178586416427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8C5-4DFD-911A-3F9FE9304B5A}"/>
                </c:ext>
              </c:extLst>
            </c:dLbl>
            <c:dLbl>
              <c:idx val="1"/>
              <c:layout>
                <c:manualLayout>
                  <c:x val="8.126310519146028E-2"/>
                  <c:y val="6.804444666867509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8C5-4DFD-911A-3F9FE9304B5A}"/>
                </c:ext>
              </c:extLst>
            </c:dLbl>
            <c:dLbl>
              <c:idx val="2"/>
              <c:layout>
                <c:manualLayout>
                  <c:x val="-0.12597593989633707"/>
                  <c:y val="-8.730988143869775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8C5-4DFD-911A-3F9FE9304B5A}"/>
                </c:ext>
              </c:extLst>
            </c:dLbl>
            <c:dLbl>
              <c:idx val="3"/>
              <c:layout>
                <c:manualLayout>
                  <c:x val="-0.13392470961865091"/>
                  <c:y val="3.205214381482356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8C5-4DFD-911A-3F9FE9304B5A}"/>
                </c:ext>
              </c:extLst>
            </c:dLbl>
            <c:dLbl>
              <c:idx val="4"/>
              <c:layout>
                <c:manualLayout>
                  <c:x val="-0.14178266236275811"/>
                  <c:y val="0.12638830421063202"/>
                </c:manualLayout>
              </c:layout>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accent5">
                          <a:lumMod val="20000"/>
                          <a:lumOff val="8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9-78C5-4DFD-911A-3F9FE9304B5A}"/>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accent5">
                        <a:lumMod val="20000"/>
                        <a:lumOff val="80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6350" cap="flat" cmpd="sng" algn="ctr">
                  <a:solidFill>
                    <a:schemeClr val="accent5">
                      <a:lumMod val="20000"/>
                      <a:lumOff val="80000"/>
                    </a:schemeClr>
                  </a:solidFill>
                  <a:prstDash val="solid"/>
                  <a:miter lim="800000"/>
                </a:ln>
                <a:effectLst/>
              </c:spPr>
            </c:leaderLines>
            <c:extLst>
              <c:ext xmlns:c15="http://schemas.microsoft.com/office/drawing/2012/chart" uri="{CE6537A1-D6FC-4f65-9D91-7224C49458BB}"/>
            </c:extLst>
          </c:dLbls>
          <c:cat>
            <c:strRef>
              <c:f>Analysis!$M$9:$M$14</c:f>
              <c:strCache>
                <c:ptCount val="5"/>
                <c:pt idx="0">
                  <c:v>East</c:v>
                </c:pt>
                <c:pt idx="1">
                  <c:v>Main</c:v>
                </c:pt>
                <c:pt idx="2">
                  <c:v>North</c:v>
                </c:pt>
                <c:pt idx="3">
                  <c:v>South</c:v>
                </c:pt>
                <c:pt idx="4">
                  <c:v>West</c:v>
                </c:pt>
              </c:strCache>
            </c:strRef>
          </c:cat>
          <c:val>
            <c:numRef>
              <c:f>Analysis!$N$9:$N$14</c:f>
              <c:numCache>
                <c:formatCode>General</c:formatCode>
                <c:ptCount val="5"/>
                <c:pt idx="0">
                  <c:v>23647</c:v>
                </c:pt>
                <c:pt idx="1">
                  <c:v>77643</c:v>
                </c:pt>
                <c:pt idx="2">
                  <c:v>74948</c:v>
                </c:pt>
                <c:pt idx="3">
                  <c:v>23308</c:v>
                </c:pt>
                <c:pt idx="4">
                  <c:v>38159</c:v>
                </c:pt>
              </c:numCache>
            </c:numRef>
          </c:val>
          <c:extLst>
            <c:ext xmlns:c16="http://schemas.microsoft.com/office/drawing/2014/chart" uri="{C3380CC4-5D6E-409C-BE32-E72D297353CC}">
              <c16:uniqueId val="{0000000A-78C5-4DFD-911A-3F9FE9304B5A}"/>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[First Dashboard Project.xlsx]Analysis!PivotTable15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400" b="1" i="0">
                <a:solidFill>
                  <a:schemeClr val="accent5">
                    <a:lumMod val="20000"/>
                    <a:lumOff val="80000"/>
                  </a:schemeClr>
                </a:solidFill>
                <a:effectLst/>
              </a:rPr>
              <a:t>Hiring Trend Over Time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9FBF9"/>
            </a:solidFill>
            <a:round/>
          </a:ln>
          <a:effectLst/>
        </c:spPr>
        <c:marker>
          <c:symbol val="circle"/>
          <c:size val="5"/>
          <c:spPr>
            <a:solidFill>
              <a:schemeClr val="accent1"/>
            </a:solidFill>
            <a:ln w="9525">
              <a:solidFill>
                <a:srgbClr val="99FBF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accent5">
                      <a:lumMod val="20000"/>
                      <a:lumOff val="8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93028322440087E-2"/>
          <c:y val="0.22651306040619462"/>
          <c:w val="0.95206971677559915"/>
          <c:h val="0.60779818113141759"/>
        </c:manualLayout>
      </c:layout>
      <c:lineChart>
        <c:grouping val="stacked"/>
        <c:varyColors val="0"/>
        <c:ser>
          <c:idx val="0"/>
          <c:order val="0"/>
          <c:tx>
            <c:strRef>
              <c:f>Analysis!$R$52</c:f>
              <c:strCache>
                <c:ptCount val="1"/>
                <c:pt idx="0">
                  <c:v>الإجمالي</c:v>
                </c:pt>
              </c:strCache>
            </c:strRef>
          </c:tx>
          <c:spPr>
            <a:ln w="28575" cap="rnd">
              <a:solidFill>
                <a:srgbClr val="99FBF9"/>
              </a:solidFill>
              <a:round/>
            </a:ln>
            <a:effectLst/>
          </c:spPr>
          <c:marker>
            <c:symbol val="circle"/>
            <c:size val="5"/>
            <c:spPr>
              <a:solidFill>
                <a:schemeClr val="accent1"/>
              </a:solidFill>
              <a:ln w="9525">
                <a:solidFill>
                  <a:srgbClr val="99FBF9"/>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accent5">
                        <a:lumMod val="20000"/>
                        <a:lumOff val="8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Analysis!$Q$53:$Q$58</c:f>
              <c:strCache>
                <c:ptCount val="5"/>
                <c:pt idx="0">
                  <c:v>2016</c:v>
                </c:pt>
                <c:pt idx="1">
                  <c:v>2017</c:v>
                </c:pt>
                <c:pt idx="2">
                  <c:v>2018</c:v>
                </c:pt>
                <c:pt idx="3">
                  <c:v>2019</c:v>
                </c:pt>
                <c:pt idx="4">
                  <c:v>2020</c:v>
                </c:pt>
              </c:strCache>
            </c:strRef>
          </c:cat>
          <c:val>
            <c:numRef>
              <c:f>Analysis!$R$53:$R$58</c:f>
              <c:numCache>
                <c:formatCode>0</c:formatCode>
                <c:ptCount val="5"/>
                <c:pt idx="0">
                  <c:v>9.6078431372549016</c:v>
                </c:pt>
                <c:pt idx="1">
                  <c:v>8.675324675324676</c:v>
                </c:pt>
                <c:pt idx="2">
                  <c:v>7.6953642384105958</c:v>
                </c:pt>
                <c:pt idx="3">
                  <c:v>6.55241935483871</c:v>
                </c:pt>
                <c:pt idx="4">
                  <c:v>5.5925925925925926</c:v>
                </c:pt>
              </c:numCache>
            </c:numRef>
          </c:val>
          <c:smooth val="0"/>
          <c:extLst>
            <c:ext xmlns:c16="http://schemas.microsoft.com/office/drawing/2014/chart" uri="{C3380CC4-5D6E-409C-BE32-E72D297353CC}">
              <c16:uniqueId val="{00000000-B10D-4700-8C17-56E3F0DBC3C9}"/>
            </c:ext>
          </c:extLst>
        </c:ser>
        <c:dLbls>
          <c:dLblPos val="t"/>
          <c:showLegendKey val="0"/>
          <c:showVal val="1"/>
          <c:showCatName val="0"/>
          <c:showSerName val="0"/>
          <c:showPercent val="0"/>
          <c:showBubbleSize val="0"/>
        </c:dLbls>
        <c:marker val="1"/>
        <c:smooth val="0"/>
        <c:axId val="1950960224"/>
        <c:axId val="314985951"/>
      </c:lineChart>
      <c:catAx>
        <c:axId val="19509602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800" b="1" i="0" u="none" strike="noStrike" kern="1200" baseline="0">
                <a:solidFill>
                  <a:schemeClr val="accent5">
                    <a:lumMod val="20000"/>
                    <a:lumOff val="80000"/>
                  </a:schemeClr>
                </a:solidFill>
                <a:latin typeface="+mn-lt"/>
                <a:ea typeface="+mn-ea"/>
                <a:cs typeface="+mn-cs"/>
              </a:defRPr>
            </a:pPr>
            <a:endParaRPr lang="en-US"/>
          </a:p>
        </c:txPr>
        <c:crossAx val="314985951"/>
        <c:crosses val="autoZero"/>
        <c:auto val="1"/>
        <c:lblAlgn val="ctr"/>
        <c:lblOffset val="100"/>
        <c:noMultiLvlLbl val="0"/>
      </c:catAx>
      <c:valAx>
        <c:axId val="314985951"/>
        <c:scaling>
          <c:orientation val="minMax"/>
        </c:scaling>
        <c:delete val="1"/>
        <c:axPos val="l"/>
        <c:numFmt formatCode="0" sourceLinked="1"/>
        <c:majorTickMark val="none"/>
        <c:minorTickMark val="none"/>
        <c:tickLblPos val="nextTo"/>
        <c:crossAx val="195096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2.xml"/><Relationship Id="rId10" Type="http://schemas.openxmlformats.org/officeDocument/2006/relationships/image" Target="../media/image10.svg"/><Relationship Id="rId19" Type="http://schemas.openxmlformats.org/officeDocument/2006/relationships/chart" Target="../charts/chart6.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oneCellAnchor>
    <xdr:from>
      <xdr:col>14</xdr:col>
      <xdr:colOff>623454</xdr:colOff>
      <xdr:row>9</xdr:row>
      <xdr:rowOff>92364</xdr:rowOff>
    </xdr:from>
    <xdr:ext cx="1662546" cy="264560"/>
    <xdr:sp macro="" textlink="">
      <xdr:nvSpPr>
        <xdr:cNvPr id="13" name="TextBox 12">
          <a:extLst>
            <a:ext uri="{FF2B5EF4-FFF2-40B4-BE49-F238E27FC236}">
              <a16:creationId xmlns:a16="http://schemas.microsoft.com/office/drawing/2014/main" id="{500FB5F9-E83B-0313-44C9-27943F7076C4}"/>
            </a:ext>
          </a:extLst>
        </xdr:cNvPr>
        <xdr:cNvSpPr txBox="1"/>
      </xdr:nvSpPr>
      <xdr:spPr>
        <a:xfrm>
          <a:off x="16648545" y="1754909"/>
          <a:ext cx="16625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oneCellAnchor>
    <xdr:from>
      <xdr:col>14</xdr:col>
      <xdr:colOff>623454</xdr:colOff>
      <xdr:row>13</xdr:row>
      <xdr:rowOff>34636</xdr:rowOff>
    </xdr:from>
    <xdr:ext cx="1662546" cy="264560"/>
    <xdr:sp macro="" textlink="">
      <xdr:nvSpPr>
        <xdr:cNvPr id="14" name="TextBox 13">
          <a:extLst>
            <a:ext uri="{FF2B5EF4-FFF2-40B4-BE49-F238E27FC236}">
              <a16:creationId xmlns:a16="http://schemas.microsoft.com/office/drawing/2014/main" id="{2C6B86B4-B58F-009B-5666-78B9A7A86085}"/>
            </a:ext>
          </a:extLst>
        </xdr:cNvPr>
        <xdr:cNvSpPr txBox="1"/>
      </xdr:nvSpPr>
      <xdr:spPr>
        <a:xfrm>
          <a:off x="16648545" y="2436091"/>
          <a:ext cx="16625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oneCellAnchor>
    <xdr:from>
      <xdr:col>14</xdr:col>
      <xdr:colOff>623454</xdr:colOff>
      <xdr:row>17</xdr:row>
      <xdr:rowOff>80818</xdr:rowOff>
    </xdr:from>
    <xdr:ext cx="1662546" cy="264560"/>
    <xdr:sp macro="" textlink="">
      <xdr:nvSpPr>
        <xdr:cNvPr id="15" name="TextBox 14">
          <a:extLst>
            <a:ext uri="{FF2B5EF4-FFF2-40B4-BE49-F238E27FC236}">
              <a16:creationId xmlns:a16="http://schemas.microsoft.com/office/drawing/2014/main" id="{B193C096-0864-9178-D014-E10D0F92CE55}"/>
            </a:ext>
          </a:extLst>
        </xdr:cNvPr>
        <xdr:cNvSpPr txBox="1"/>
      </xdr:nvSpPr>
      <xdr:spPr>
        <a:xfrm>
          <a:off x="16648545" y="3221182"/>
          <a:ext cx="16625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oneCellAnchor>
    <xdr:from>
      <xdr:col>14</xdr:col>
      <xdr:colOff>623454</xdr:colOff>
      <xdr:row>22</xdr:row>
      <xdr:rowOff>80819</xdr:rowOff>
    </xdr:from>
    <xdr:ext cx="1662546" cy="264560"/>
    <xdr:sp macro="" textlink="">
      <xdr:nvSpPr>
        <xdr:cNvPr id="16" name="TextBox 15">
          <a:extLst>
            <a:ext uri="{FF2B5EF4-FFF2-40B4-BE49-F238E27FC236}">
              <a16:creationId xmlns:a16="http://schemas.microsoft.com/office/drawing/2014/main" id="{23222738-2BB6-824C-0B94-889BCD922EF4}"/>
            </a:ext>
          </a:extLst>
        </xdr:cNvPr>
        <xdr:cNvSpPr txBox="1"/>
      </xdr:nvSpPr>
      <xdr:spPr>
        <a:xfrm>
          <a:off x="16613909" y="4144819"/>
          <a:ext cx="166254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twoCellAnchor>
    <xdr:from>
      <xdr:col>14</xdr:col>
      <xdr:colOff>0</xdr:colOff>
      <xdr:row>27</xdr:row>
      <xdr:rowOff>92364</xdr:rowOff>
    </xdr:from>
    <xdr:to>
      <xdr:col>16</xdr:col>
      <xdr:colOff>23091</xdr:colOff>
      <xdr:row>31</xdr:row>
      <xdr:rowOff>34637</xdr:rowOff>
    </xdr:to>
    <xdr:sp macro="" textlink="">
      <xdr:nvSpPr>
        <xdr:cNvPr id="17" name="TextBox 16">
          <a:extLst>
            <a:ext uri="{FF2B5EF4-FFF2-40B4-BE49-F238E27FC236}">
              <a16:creationId xmlns:a16="http://schemas.microsoft.com/office/drawing/2014/main" id="{2BD4374F-1573-3E54-1174-25E911CCFFD8}"/>
            </a:ext>
          </a:extLst>
        </xdr:cNvPr>
        <xdr:cNvSpPr txBox="1"/>
      </xdr:nvSpPr>
      <xdr:spPr>
        <a:xfrm>
          <a:off x="16232909" y="5080000"/>
          <a:ext cx="2516909" cy="6811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20</xdr:col>
      <xdr:colOff>617680</xdr:colOff>
      <xdr:row>44</xdr:row>
      <xdr:rowOff>92364</xdr:rowOff>
    </xdr:from>
    <xdr:to>
      <xdr:col>28</xdr:col>
      <xdr:colOff>600362</xdr:colOff>
      <xdr:row>62</xdr:row>
      <xdr:rowOff>43873</xdr:rowOff>
    </xdr:to>
    <xdr:graphicFrame macro="">
      <xdr:nvGraphicFramePr>
        <xdr:cNvPr id="12" name="Chart 11">
          <a:extLst>
            <a:ext uri="{FF2B5EF4-FFF2-40B4-BE49-F238E27FC236}">
              <a16:creationId xmlns:a16="http://schemas.microsoft.com/office/drawing/2014/main" id="{3405CFF1-F2F9-C584-8A8E-34F1B19992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34</xdr:col>
      <xdr:colOff>222250</xdr:colOff>
      <xdr:row>47</xdr:row>
      <xdr:rowOff>57726</xdr:rowOff>
    </xdr:to>
    <xdr:grpSp>
      <xdr:nvGrpSpPr>
        <xdr:cNvPr id="92" name="Group 91">
          <a:extLst>
            <a:ext uri="{FF2B5EF4-FFF2-40B4-BE49-F238E27FC236}">
              <a16:creationId xmlns:a16="http://schemas.microsoft.com/office/drawing/2014/main" id="{5804D09A-A644-40BC-42A7-7096A9C18034}"/>
            </a:ext>
          </a:extLst>
        </xdr:cNvPr>
        <xdr:cNvGrpSpPr/>
      </xdr:nvGrpSpPr>
      <xdr:grpSpPr>
        <a:xfrm>
          <a:off x="0" y="0"/>
          <a:ext cx="19977100" cy="8563551"/>
          <a:chOff x="457200" y="0"/>
          <a:chExt cx="20532436" cy="9011226"/>
        </a:xfrm>
      </xdr:grpSpPr>
      <xdr:grpSp>
        <xdr:nvGrpSpPr>
          <xdr:cNvPr id="48" name="Group 47">
            <a:extLst>
              <a:ext uri="{FF2B5EF4-FFF2-40B4-BE49-F238E27FC236}">
                <a16:creationId xmlns:a16="http://schemas.microsoft.com/office/drawing/2014/main" id="{7A37E13C-8404-E764-2F20-A76463F890AC}"/>
              </a:ext>
            </a:extLst>
          </xdr:cNvPr>
          <xdr:cNvGrpSpPr/>
        </xdr:nvGrpSpPr>
        <xdr:grpSpPr>
          <a:xfrm>
            <a:off x="457200" y="0"/>
            <a:ext cx="20532436" cy="9011226"/>
            <a:chOff x="0" y="0"/>
            <a:chExt cx="19534910" cy="8739908"/>
          </a:xfrm>
        </xdr:grpSpPr>
        <xdr:grpSp>
          <xdr:nvGrpSpPr>
            <xdr:cNvPr id="2" name="Group 1">
              <a:extLst>
                <a:ext uri="{FF2B5EF4-FFF2-40B4-BE49-F238E27FC236}">
                  <a16:creationId xmlns:a16="http://schemas.microsoft.com/office/drawing/2014/main" id="{DFBD55E5-7B4E-6FF6-239C-2E2CF92D5DA2}"/>
                </a:ext>
              </a:extLst>
            </xdr:cNvPr>
            <xdr:cNvGrpSpPr/>
          </xdr:nvGrpSpPr>
          <xdr:grpSpPr>
            <a:xfrm>
              <a:off x="0" y="0"/>
              <a:ext cx="19338636" cy="8739908"/>
              <a:chOff x="-124969" y="-163628"/>
              <a:chExt cx="12474181" cy="7021628"/>
            </a:xfrm>
          </xdr:grpSpPr>
          <xdr:sp macro="" textlink="">
            <xdr:nvSpPr>
              <xdr:cNvPr id="3" name="Rectangle: Rounded Corners 2">
                <a:extLst>
                  <a:ext uri="{FF2B5EF4-FFF2-40B4-BE49-F238E27FC236}">
                    <a16:creationId xmlns:a16="http://schemas.microsoft.com/office/drawing/2014/main" id="{F89F9AF3-A6C1-A212-10E6-1533E46FCC34}"/>
                  </a:ext>
                </a:extLst>
              </xdr:cNvPr>
              <xdr:cNvSpPr/>
            </xdr:nvSpPr>
            <xdr:spPr>
              <a:xfrm>
                <a:off x="-124969" y="-163628"/>
                <a:ext cx="12474181" cy="7021628"/>
              </a:xfrm>
              <a:prstGeom prst="roundRect">
                <a:avLst>
                  <a:gd name="adj" fmla="val 0"/>
                </a:avLst>
              </a:prstGeom>
              <a:gradFill flip="none" rotWithShape="1">
                <a:gsLst>
                  <a:gs pos="0">
                    <a:srgbClr val="9900CC"/>
                  </a:gs>
                  <a:gs pos="47000">
                    <a:srgbClr val="3E1957"/>
                  </a:gs>
                  <a:gs pos="82000">
                    <a:schemeClr val="tx1">
                      <a:lumMod val="95000"/>
                      <a:lumOff val="5000"/>
                    </a:schemeClr>
                  </a:gs>
                </a:gsLst>
                <a:path path="circle">
                  <a:fillToRect l="100000" b="100000"/>
                </a:path>
                <a:tileRect t="-100000" r="-100000"/>
              </a:gradFill>
              <a:ln>
                <a:noFill/>
              </a:ln>
              <a:effectLst>
                <a:outerShdw blurRad="190500" dist="228600" dir="2700000" algn="ctr">
                  <a:srgbClr val="000000">
                    <a:alpha val="30000"/>
                  </a:srgbClr>
                </a:outerShdw>
              </a:effectLst>
              <a:scene3d>
                <a:camera prst="orthographicFront"/>
                <a:lightRig rig="threePt" dir="t"/>
              </a:scene3d>
              <a:sp3d prstMaterial="matte">
                <a:bevelT w="127000" h="63500" prst="coolSlant"/>
              </a:sp3d>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457142" rtl="0" eaLnBrk="1" latinLnBrk="0" hangingPunct="1">
                  <a:defRPr sz="1800" kern="1200">
                    <a:solidFill>
                      <a:schemeClr val="dk1"/>
                    </a:solidFill>
                    <a:latin typeface="+mn-lt"/>
                    <a:ea typeface="+mn-ea"/>
                    <a:cs typeface="+mn-cs"/>
                  </a:defRPr>
                </a:lvl1pPr>
                <a:lvl2pPr marL="457142" algn="l" defTabSz="457142" rtl="0" eaLnBrk="1" latinLnBrk="0" hangingPunct="1">
                  <a:defRPr sz="1800" kern="1200">
                    <a:solidFill>
                      <a:schemeClr val="dk1"/>
                    </a:solidFill>
                    <a:latin typeface="+mn-lt"/>
                    <a:ea typeface="+mn-ea"/>
                    <a:cs typeface="+mn-cs"/>
                  </a:defRPr>
                </a:lvl2pPr>
                <a:lvl3pPr marL="914284" algn="l" defTabSz="457142" rtl="0" eaLnBrk="1" latinLnBrk="0" hangingPunct="1">
                  <a:defRPr sz="1800" kern="1200">
                    <a:solidFill>
                      <a:schemeClr val="dk1"/>
                    </a:solidFill>
                    <a:latin typeface="+mn-lt"/>
                    <a:ea typeface="+mn-ea"/>
                    <a:cs typeface="+mn-cs"/>
                  </a:defRPr>
                </a:lvl3pPr>
                <a:lvl4pPr marL="1371426" algn="l" defTabSz="457142" rtl="0" eaLnBrk="1" latinLnBrk="0" hangingPunct="1">
                  <a:defRPr sz="1800" kern="1200">
                    <a:solidFill>
                      <a:schemeClr val="dk1"/>
                    </a:solidFill>
                    <a:latin typeface="+mn-lt"/>
                    <a:ea typeface="+mn-ea"/>
                    <a:cs typeface="+mn-cs"/>
                  </a:defRPr>
                </a:lvl4pPr>
                <a:lvl5pPr marL="1828567" algn="l" defTabSz="457142" rtl="0" eaLnBrk="1" latinLnBrk="0" hangingPunct="1">
                  <a:defRPr sz="1800" kern="1200">
                    <a:solidFill>
                      <a:schemeClr val="dk1"/>
                    </a:solidFill>
                    <a:latin typeface="+mn-lt"/>
                    <a:ea typeface="+mn-ea"/>
                    <a:cs typeface="+mn-cs"/>
                  </a:defRPr>
                </a:lvl5pPr>
                <a:lvl6pPr marL="2285709" algn="l" defTabSz="457142" rtl="0" eaLnBrk="1" latinLnBrk="0" hangingPunct="1">
                  <a:defRPr sz="1800" kern="1200">
                    <a:solidFill>
                      <a:schemeClr val="dk1"/>
                    </a:solidFill>
                    <a:latin typeface="+mn-lt"/>
                    <a:ea typeface="+mn-ea"/>
                    <a:cs typeface="+mn-cs"/>
                  </a:defRPr>
                </a:lvl6pPr>
                <a:lvl7pPr marL="2742851" algn="l" defTabSz="457142" rtl="0" eaLnBrk="1" latinLnBrk="0" hangingPunct="1">
                  <a:defRPr sz="1800" kern="1200">
                    <a:solidFill>
                      <a:schemeClr val="dk1"/>
                    </a:solidFill>
                    <a:latin typeface="+mn-lt"/>
                    <a:ea typeface="+mn-ea"/>
                    <a:cs typeface="+mn-cs"/>
                  </a:defRPr>
                </a:lvl7pPr>
                <a:lvl8pPr marL="3199994" algn="l" defTabSz="457142" rtl="0" eaLnBrk="1" latinLnBrk="0" hangingPunct="1">
                  <a:defRPr sz="1800" kern="1200">
                    <a:solidFill>
                      <a:schemeClr val="dk1"/>
                    </a:solidFill>
                    <a:latin typeface="+mn-lt"/>
                    <a:ea typeface="+mn-ea"/>
                    <a:cs typeface="+mn-cs"/>
                  </a:defRPr>
                </a:lvl8pPr>
                <a:lvl9pPr marL="3657136" algn="l" defTabSz="457142" rtl="0" eaLnBrk="1" latinLnBrk="0" hangingPunct="1">
                  <a:defRPr sz="1800" kern="1200">
                    <a:solidFill>
                      <a:schemeClr val="dk1"/>
                    </a:solidFill>
                    <a:latin typeface="+mn-lt"/>
                    <a:ea typeface="+mn-ea"/>
                    <a:cs typeface="+mn-cs"/>
                  </a:defRPr>
                </a:lvl9pPr>
              </a:lstStyle>
              <a:p>
                <a:pPr algn="ctr"/>
                <a:endParaRPr lang="en-GB"/>
              </a:p>
            </xdr:txBody>
          </xdr:sp>
          <xdr:grpSp>
            <xdr:nvGrpSpPr>
              <xdr:cNvPr id="4" name="Group 3">
                <a:extLst>
                  <a:ext uri="{FF2B5EF4-FFF2-40B4-BE49-F238E27FC236}">
                    <a16:creationId xmlns:a16="http://schemas.microsoft.com/office/drawing/2014/main" id="{D3EC817B-CDD3-6F27-0445-EBC6D8573437}"/>
                  </a:ext>
                </a:extLst>
              </xdr:cNvPr>
              <xdr:cNvGrpSpPr/>
            </xdr:nvGrpSpPr>
            <xdr:grpSpPr>
              <a:xfrm>
                <a:off x="157212" y="-121491"/>
                <a:ext cx="12192000" cy="6876412"/>
                <a:chOff x="0" y="84667"/>
                <a:chExt cx="12192000" cy="6876412"/>
              </a:xfrm>
              <a:effectLst>
                <a:outerShdw blurRad="50800" dist="38100" dir="13500000" algn="br" rotWithShape="0">
                  <a:prstClr val="black">
                    <a:alpha val="40000"/>
                  </a:prstClr>
                </a:outerShdw>
              </a:effectLst>
              <a:scene3d>
                <a:camera prst="orthographicFront">
                  <a:rot lat="0" lon="0" rev="0"/>
                </a:camera>
                <a:lightRig rig="glow" dir="t">
                  <a:rot lat="0" lon="0" rev="4800000"/>
                </a:lightRig>
              </a:scene3d>
            </xdr:grpSpPr>
            <xdr:sp macro="" textlink="">
              <xdr:nvSpPr>
                <xdr:cNvPr id="5" name="Rectangle: Rounded Corners 4">
                  <a:extLst>
                    <a:ext uri="{FF2B5EF4-FFF2-40B4-BE49-F238E27FC236}">
                      <a16:creationId xmlns:a16="http://schemas.microsoft.com/office/drawing/2014/main" id="{0AE3445C-2841-E3D5-68E5-B6BCD8BB1192}"/>
                    </a:ext>
                  </a:extLst>
                </xdr:cNvPr>
                <xdr:cNvSpPr/>
              </xdr:nvSpPr>
              <xdr:spPr>
                <a:xfrm>
                  <a:off x="0" y="4100356"/>
                  <a:ext cx="1698920" cy="2770382"/>
                </a:xfrm>
                <a:prstGeom prst="roundRect">
                  <a:avLst>
                    <a:gd name="adj" fmla="val 0"/>
                  </a:avLst>
                </a:prstGeom>
                <a:gradFill flip="none" rotWithShape="1">
                  <a:gsLst>
                    <a:gs pos="0">
                      <a:srgbClr val="9900CC"/>
                    </a:gs>
                    <a:gs pos="12000">
                      <a:srgbClr val="3E1957"/>
                    </a:gs>
                    <a:gs pos="61000">
                      <a:schemeClr val="tx1">
                        <a:lumMod val="95000"/>
                        <a:lumOff val="5000"/>
                      </a:schemeClr>
                    </a:gs>
                  </a:gsLst>
                  <a:path path="circle">
                    <a:fillToRect l="100000" b="100000"/>
                  </a:path>
                  <a:tileRect t="-100000" r="-100000"/>
                </a:gradFill>
                <a:ln>
                  <a:noFill/>
                </a:ln>
                <a:effectLst>
                  <a:outerShdw blurRad="190500" dist="228600" dir="2700000" algn="ctr">
                    <a:srgbClr val="000000">
                      <a:alpha val="30000"/>
                    </a:srgbClr>
                  </a:outerShdw>
                </a:effectLst>
                <a:sp3d prstMaterial="matte">
                  <a:bevelT w="127000" h="63500" prst="coolSlant"/>
                </a:sp3d>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457142" rtl="0" eaLnBrk="1" latinLnBrk="0" hangingPunct="1">
                    <a:defRPr sz="1800" kern="1200">
                      <a:solidFill>
                        <a:schemeClr val="dk1"/>
                      </a:solidFill>
                      <a:latin typeface="+mn-lt"/>
                      <a:ea typeface="+mn-ea"/>
                      <a:cs typeface="+mn-cs"/>
                    </a:defRPr>
                  </a:lvl1pPr>
                  <a:lvl2pPr marL="457142" algn="l" defTabSz="457142" rtl="0" eaLnBrk="1" latinLnBrk="0" hangingPunct="1">
                    <a:defRPr sz="1800" kern="1200">
                      <a:solidFill>
                        <a:schemeClr val="dk1"/>
                      </a:solidFill>
                      <a:latin typeface="+mn-lt"/>
                      <a:ea typeface="+mn-ea"/>
                      <a:cs typeface="+mn-cs"/>
                    </a:defRPr>
                  </a:lvl2pPr>
                  <a:lvl3pPr marL="914284" algn="l" defTabSz="457142" rtl="0" eaLnBrk="1" latinLnBrk="0" hangingPunct="1">
                    <a:defRPr sz="1800" kern="1200">
                      <a:solidFill>
                        <a:schemeClr val="dk1"/>
                      </a:solidFill>
                      <a:latin typeface="+mn-lt"/>
                      <a:ea typeface="+mn-ea"/>
                      <a:cs typeface="+mn-cs"/>
                    </a:defRPr>
                  </a:lvl3pPr>
                  <a:lvl4pPr marL="1371426" algn="l" defTabSz="457142" rtl="0" eaLnBrk="1" latinLnBrk="0" hangingPunct="1">
                    <a:defRPr sz="1800" kern="1200">
                      <a:solidFill>
                        <a:schemeClr val="dk1"/>
                      </a:solidFill>
                      <a:latin typeface="+mn-lt"/>
                      <a:ea typeface="+mn-ea"/>
                      <a:cs typeface="+mn-cs"/>
                    </a:defRPr>
                  </a:lvl4pPr>
                  <a:lvl5pPr marL="1828567" algn="l" defTabSz="457142" rtl="0" eaLnBrk="1" latinLnBrk="0" hangingPunct="1">
                    <a:defRPr sz="1800" kern="1200">
                      <a:solidFill>
                        <a:schemeClr val="dk1"/>
                      </a:solidFill>
                      <a:latin typeface="+mn-lt"/>
                      <a:ea typeface="+mn-ea"/>
                      <a:cs typeface="+mn-cs"/>
                    </a:defRPr>
                  </a:lvl5pPr>
                  <a:lvl6pPr marL="2285709" algn="l" defTabSz="457142" rtl="0" eaLnBrk="1" latinLnBrk="0" hangingPunct="1">
                    <a:defRPr sz="1800" kern="1200">
                      <a:solidFill>
                        <a:schemeClr val="dk1"/>
                      </a:solidFill>
                      <a:latin typeface="+mn-lt"/>
                      <a:ea typeface="+mn-ea"/>
                      <a:cs typeface="+mn-cs"/>
                    </a:defRPr>
                  </a:lvl6pPr>
                  <a:lvl7pPr marL="2742851" algn="l" defTabSz="457142" rtl="0" eaLnBrk="1" latinLnBrk="0" hangingPunct="1">
                    <a:defRPr sz="1800" kern="1200">
                      <a:solidFill>
                        <a:schemeClr val="dk1"/>
                      </a:solidFill>
                      <a:latin typeface="+mn-lt"/>
                      <a:ea typeface="+mn-ea"/>
                      <a:cs typeface="+mn-cs"/>
                    </a:defRPr>
                  </a:lvl7pPr>
                  <a:lvl8pPr marL="3199994" algn="l" defTabSz="457142" rtl="0" eaLnBrk="1" latinLnBrk="0" hangingPunct="1">
                    <a:defRPr sz="1800" kern="1200">
                      <a:solidFill>
                        <a:schemeClr val="dk1"/>
                      </a:solidFill>
                      <a:latin typeface="+mn-lt"/>
                      <a:ea typeface="+mn-ea"/>
                      <a:cs typeface="+mn-cs"/>
                    </a:defRPr>
                  </a:lvl8pPr>
                  <a:lvl9pPr marL="3657136" algn="l" defTabSz="457142" rtl="0" eaLnBrk="1" latinLnBrk="0" hangingPunct="1">
                    <a:defRPr sz="1800" kern="1200">
                      <a:solidFill>
                        <a:schemeClr val="dk1"/>
                      </a:solidFill>
                      <a:latin typeface="+mn-lt"/>
                      <a:ea typeface="+mn-ea"/>
                      <a:cs typeface="+mn-cs"/>
                    </a:defRPr>
                  </a:lvl9pPr>
                </a:lstStyle>
                <a:p>
                  <a:pPr algn="ctr"/>
                  <a:endParaRPr lang="en-GB"/>
                </a:p>
              </xdr:txBody>
            </xdr:sp>
            <xdr:sp macro="" textlink="">
              <xdr:nvSpPr>
                <xdr:cNvPr id="6" name="Rectangle: Rounded Corners 5">
                  <a:extLst>
                    <a:ext uri="{FF2B5EF4-FFF2-40B4-BE49-F238E27FC236}">
                      <a16:creationId xmlns:a16="http://schemas.microsoft.com/office/drawing/2014/main" id="{48F75D7F-BCA8-5E43-5844-854DD8D27866}"/>
                    </a:ext>
                  </a:extLst>
                </xdr:cNvPr>
                <xdr:cNvSpPr/>
              </xdr:nvSpPr>
              <xdr:spPr>
                <a:xfrm>
                  <a:off x="93133" y="84667"/>
                  <a:ext cx="1710267" cy="770466"/>
                </a:xfrm>
                <a:prstGeom prst="roundRect">
                  <a:avLst/>
                </a:prstGeom>
                <a:gradFill flip="none" rotWithShape="1">
                  <a:gsLst>
                    <a:gs pos="0">
                      <a:srgbClr val="9900CC"/>
                    </a:gs>
                    <a:gs pos="13000">
                      <a:srgbClr val="3E1957"/>
                    </a:gs>
                    <a:gs pos="65000">
                      <a:schemeClr val="tx1">
                        <a:lumMod val="95000"/>
                        <a:lumOff val="5000"/>
                      </a:schemeClr>
                    </a:gs>
                  </a:gsLst>
                  <a:path path="circle">
                    <a:fillToRect l="100000" b="100000"/>
                  </a:path>
                  <a:tileRect t="-100000" r="-100000"/>
                </a:gradFill>
                <a:ln>
                  <a:noFill/>
                </a:ln>
                <a:effectLst>
                  <a:outerShdw blurRad="190500" dist="228600" dir="2700000" algn="ctr">
                    <a:srgbClr val="000000">
                      <a:alpha val="30000"/>
                    </a:srgbClr>
                  </a:outerShdw>
                </a:effectLst>
                <a:sp3d prstMaterial="matte">
                  <a:bevelT w="127000" h="63500" prst="coolSlant"/>
                </a:sp3d>
              </xdr:spPr>
              <xdr:style>
                <a:lnRef idx="2">
                  <a:schemeClr val="accent6"/>
                </a:lnRef>
                <a:fillRef idx="1">
                  <a:schemeClr val="lt1"/>
                </a:fillRef>
                <a:effectRef idx="0">
                  <a:schemeClr val="accent6"/>
                </a:effectRef>
                <a:fontRef idx="minor">
                  <a:schemeClr val="dk1"/>
                </a:fontRef>
              </xdr:style>
              <xdr:txBody>
                <a:bodyPr wrap="square" rtlCol="0" anchor="t"/>
                <a:lstStyle>
                  <a:defPPr>
                    <a:defRPr lang="en-US"/>
                  </a:defPPr>
                  <a:lvl1pPr marL="0" algn="l" defTabSz="457142" rtl="0" eaLnBrk="1" latinLnBrk="0" hangingPunct="1">
                    <a:defRPr sz="1800" kern="1200">
                      <a:solidFill>
                        <a:schemeClr val="dk1"/>
                      </a:solidFill>
                      <a:latin typeface="+mn-lt"/>
                      <a:ea typeface="+mn-ea"/>
                      <a:cs typeface="+mn-cs"/>
                    </a:defRPr>
                  </a:lvl1pPr>
                  <a:lvl2pPr marL="457142" algn="l" defTabSz="457142" rtl="0" eaLnBrk="1" latinLnBrk="0" hangingPunct="1">
                    <a:defRPr sz="1800" kern="1200">
                      <a:solidFill>
                        <a:schemeClr val="dk1"/>
                      </a:solidFill>
                      <a:latin typeface="+mn-lt"/>
                      <a:ea typeface="+mn-ea"/>
                      <a:cs typeface="+mn-cs"/>
                    </a:defRPr>
                  </a:lvl2pPr>
                  <a:lvl3pPr marL="914284" algn="l" defTabSz="457142" rtl="0" eaLnBrk="1" latinLnBrk="0" hangingPunct="1">
                    <a:defRPr sz="1800" kern="1200">
                      <a:solidFill>
                        <a:schemeClr val="dk1"/>
                      </a:solidFill>
                      <a:latin typeface="+mn-lt"/>
                      <a:ea typeface="+mn-ea"/>
                      <a:cs typeface="+mn-cs"/>
                    </a:defRPr>
                  </a:lvl3pPr>
                  <a:lvl4pPr marL="1371426" algn="l" defTabSz="457142" rtl="0" eaLnBrk="1" latinLnBrk="0" hangingPunct="1">
                    <a:defRPr sz="1800" kern="1200">
                      <a:solidFill>
                        <a:schemeClr val="dk1"/>
                      </a:solidFill>
                      <a:latin typeface="+mn-lt"/>
                      <a:ea typeface="+mn-ea"/>
                      <a:cs typeface="+mn-cs"/>
                    </a:defRPr>
                  </a:lvl4pPr>
                  <a:lvl5pPr marL="1828567" algn="l" defTabSz="457142" rtl="0" eaLnBrk="1" latinLnBrk="0" hangingPunct="1">
                    <a:defRPr sz="1800" kern="1200">
                      <a:solidFill>
                        <a:schemeClr val="dk1"/>
                      </a:solidFill>
                      <a:latin typeface="+mn-lt"/>
                      <a:ea typeface="+mn-ea"/>
                      <a:cs typeface="+mn-cs"/>
                    </a:defRPr>
                  </a:lvl5pPr>
                  <a:lvl6pPr marL="2285709" algn="l" defTabSz="457142" rtl="0" eaLnBrk="1" latinLnBrk="0" hangingPunct="1">
                    <a:defRPr sz="1800" kern="1200">
                      <a:solidFill>
                        <a:schemeClr val="dk1"/>
                      </a:solidFill>
                      <a:latin typeface="+mn-lt"/>
                      <a:ea typeface="+mn-ea"/>
                      <a:cs typeface="+mn-cs"/>
                    </a:defRPr>
                  </a:lvl6pPr>
                  <a:lvl7pPr marL="2742851" algn="l" defTabSz="457142" rtl="0" eaLnBrk="1" latinLnBrk="0" hangingPunct="1">
                    <a:defRPr sz="1800" kern="1200">
                      <a:solidFill>
                        <a:schemeClr val="dk1"/>
                      </a:solidFill>
                      <a:latin typeface="+mn-lt"/>
                      <a:ea typeface="+mn-ea"/>
                      <a:cs typeface="+mn-cs"/>
                    </a:defRPr>
                  </a:lvl7pPr>
                  <a:lvl8pPr marL="3199994" algn="l" defTabSz="457142" rtl="0" eaLnBrk="1" latinLnBrk="0" hangingPunct="1">
                    <a:defRPr sz="1800" kern="1200">
                      <a:solidFill>
                        <a:schemeClr val="dk1"/>
                      </a:solidFill>
                      <a:latin typeface="+mn-lt"/>
                      <a:ea typeface="+mn-ea"/>
                      <a:cs typeface="+mn-cs"/>
                    </a:defRPr>
                  </a:lvl8pPr>
                  <a:lvl9pPr marL="3657136" algn="l" defTabSz="457142" rtl="0" eaLnBrk="1" latinLnBrk="0" hangingPunct="1">
                    <a:defRPr sz="1800" kern="1200">
                      <a:solidFill>
                        <a:schemeClr val="dk1"/>
                      </a:solidFill>
                      <a:latin typeface="+mn-lt"/>
                      <a:ea typeface="+mn-ea"/>
                      <a:cs typeface="+mn-cs"/>
                    </a:defRPr>
                  </a:lvl9pPr>
                </a:lstStyle>
                <a:p>
                  <a:pPr algn="ctr"/>
                  <a:r>
                    <a:rPr lang="en-GB" sz="2400" b="1">
                      <a:solidFill>
                        <a:schemeClr val="accent5">
                          <a:lumMod val="20000"/>
                          <a:lumOff val="80000"/>
                        </a:schemeClr>
                      </a:solidFill>
                      <a:latin typeface="Franklin Gothic Medium" panose="020B0603020102020204" pitchFamily="34" charset="0"/>
                    </a:rPr>
                    <a:t>Total Empolyees</a:t>
                  </a:r>
                </a:p>
              </xdr:txBody>
            </xdr:sp>
            <xdr:sp macro="" textlink="">
              <xdr:nvSpPr>
                <xdr:cNvPr id="7" name="Rectangle: Rounded Corners 6">
                  <a:extLst>
                    <a:ext uri="{FF2B5EF4-FFF2-40B4-BE49-F238E27FC236}">
                      <a16:creationId xmlns:a16="http://schemas.microsoft.com/office/drawing/2014/main" id="{4E34BFD4-4A2E-28C8-A29A-28A71BE02D7A}"/>
                    </a:ext>
                  </a:extLst>
                </xdr:cNvPr>
                <xdr:cNvSpPr/>
              </xdr:nvSpPr>
              <xdr:spPr>
                <a:xfrm>
                  <a:off x="3708402" y="84667"/>
                  <a:ext cx="8424333" cy="770466"/>
                </a:xfrm>
                <a:prstGeom prst="roundRect">
                  <a:avLst/>
                </a:prstGeom>
                <a:gradFill flip="none" rotWithShape="1">
                  <a:gsLst>
                    <a:gs pos="0">
                      <a:srgbClr val="9900CC"/>
                    </a:gs>
                    <a:gs pos="13000">
                      <a:srgbClr val="3E1957"/>
                    </a:gs>
                    <a:gs pos="65000">
                      <a:schemeClr val="tx1">
                        <a:lumMod val="95000"/>
                        <a:lumOff val="5000"/>
                      </a:schemeClr>
                    </a:gs>
                  </a:gsLst>
                  <a:path path="circle">
                    <a:fillToRect l="100000" b="100000"/>
                  </a:path>
                  <a:tileRect t="-100000" r="-100000"/>
                </a:gradFill>
                <a:ln>
                  <a:noFill/>
                </a:ln>
                <a:effectLst>
                  <a:outerShdw blurRad="190500" dist="228600" dir="2700000" algn="ctr">
                    <a:srgbClr val="000000">
                      <a:alpha val="30000"/>
                    </a:srgbClr>
                  </a:outerShdw>
                </a:effectLst>
                <a:sp3d prstMaterial="matte">
                  <a:bevelT w="127000" h="63500" prst="coolSlant"/>
                </a:sp3d>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457142" rtl="0" eaLnBrk="1" latinLnBrk="0" hangingPunct="1">
                    <a:defRPr sz="1800" kern="1200">
                      <a:solidFill>
                        <a:schemeClr val="dk1"/>
                      </a:solidFill>
                      <a:latin typeface="+mn-lt"/>
                      <a:ea typeface="+mn-ea"/>
                      <a:cs typeface="+mn-cs"/>
                    </a:defRPr>
                  </a:lvl1pPr>
                  <a:lvl2pPr marL="457142" algn="l" defTabSz="457142" rtl="0" eaLnBrk="1" latinLnBrk="0" hangingPunct="1">
                    <a:defRPr sz="1800" kern="1200">
                      <a:solidFill>
                        <a:schemeClr val="dk1"/>
                      </a:solidFill>
                      <a:latin typeface="+mn-lt"/>
                      <a:ea typeface="+mn-ea"/>
                      <a:cs typeface="+mn-cs"/>
                    </a:defRPr>
                  </a:lvl2pPr>
                  <a:lvl3pPr marL="914284" algn="l" defTabSz="457142" rtl="0" eaLnBrk="1" latinLnBrk="0" hangingPunct="1">
                    <a:defRPr sz="1800" kern="1200">
                      <a:solidFill>
                        <a:schemeClr val="dk1"/>
                      </a:solidFill>
                      <a:latin typeface="+mn-lt"/>
                      <a:ea typeface="+mn-ea"/>
                      <a:cs typeface="+mn-cs"/>
                    </a:defRPr>
                  </a:lvl3pPr>
                  <a:lvl4pPr marL="1371426" algn="l" defTabSz="457142" rtl="0" eaLnBrk="1" latinLnBrk="0" hangingPunct="1">
                    <a:defRPr sz="1800" kern="1200">
                      <a:solidFill>
                        <a:schemeClr val="dk1"/>
                      </a:solidFill>
                      <a:latin typeface="+mn-lt"/>
                      <a:ea typeface="+mn-ea"/>
                      <a:cs typeface="+mn-cs"/>
                    </a:defRPr>
                  </a:lvl4pPr>
                  <a:lvl5pPr marL="1828567" algn="l" defTabSz="457142" rtl="0" eaLnBrk="1" latinLnBrk="0" hangingPunct="1">
                    <a:defRPr sz="1800" kern="1200">
                      <a:solidFill>
                        <a:schemeClr val="dk1"/>
                      </a:solidFill>
                      <a:latin typeface="+mn-lt"/>
                      <a:ea typeface="+mn-ea"/>
                      <a:cs typeface="+mn-cs"/>
                    </a:defRPr>
                  </a:lvl5pPr>
                  <a:lvl6pPr marL="2285709" algn="l" defTabSz="457142" rtl="0" eaLnBrk="1" latinLnBrk="0" hangingPunct="1">
                    <a:defRPr sz="1800" kern="1200">
                      <a:solidFill>
                        <a:schemeClr val="dk1"/>
                      </a:solidFill>
                      <a:latin typeface="+mn-lt"/>
                      <a:ea typeface="+mn-ea"/>
                      <a:cs typeface="+mn-cs"/>
                    </a:defRPr>
                  </a:lvl6pPr>
                  <a:lvl7pPr marL="2742851" algn="l" defTabSz="457142" rtl="0" eaLnBrk="1" latinLnBrk="0" hangingPunct="1">
                    <a:defRPr sz="1800" kern="1200">
                      <a:solidFill>
                        <a:schemeClr val="dk1"/>
                      </a:solidFill>
                      <a:latin typeface="+mn-lt"/>
                      <a:ea typeface="+mn-ea"/>
                      <a:cs typeface="+mn-cs"/>
                    </a:defRPr>
                  </a:lvl7pPr>
                  <a:lvl8pPr marL="3199994" algn="l" defTabSz="457142" rtl="0" eaLnBrk="1" latinLnBrk="0" hangingPunct="1">
                    <a:defRPr sz="1800" kern="1200">
                      <a:solidFill>
                        <a:schemeClr val="dk1"/>
                      </a:solidFill>
                      <a:latin typeface="+mn-lt"/>
                      <a:ea typeface="+mn-ea"/>
                      <a:cs typeface="+mn-cs"/>
                    </a:defRPr>
                  </a:lvl8pPr>
                  <a:lvl9pPr marL="3657136" algn="l" defTabSz="457142" rtl="0" eaLnBrk="1" latinLnBrk="0" hangingPunct="1">
                    <a:defRPr sz="1800" kern="1200">
                      <a:solidFill>
                        <a:schemeClr val="dk1"/>
                      </a:solidFill>
                      <a:latin typeface="+mn-lt"/>
                      <a:ea typeface="+mn-ea"/>
                      <a:cs typeface="+mn-cs"/>
                    </a:defRPr>
                  </a:lvl9pPr>
                </a:lstStyle>
                <a:p>
                  <a:pPr marL="0" marR="0" lvl="0" indent="0" algn="r" defTabSz="457142" rtl="0" eaLnBrk="1" fontAlgn="auto" latinLnBrk="0" hangingPunct="1">
                    <a:lnSpc>
                      <a:spcPct val="100000"/>
                    </a:lnSpc>
                    <a:spcBef>
                      <a:spcPts val="0"/>
                    </a:spcBef>
                    <a:spcAft>
                      <a:spcPts val="0"/>
                    </a:spcAft>
                    <a:buClrTx/>
                    <a:buSzTx/>
                    <a:buFontTx/>
                    <a:buNone/>
                    <a:tabLst/>
                    <a:defRPr/>
                  </a:pPr>
                  <a:r>
                    <a:rPr lang="en-GB" sz="5400" b="0" i="0" kern="120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Amasis MT Pro Black" panose="02040A04050005020304" pitchFamily="18" charset="0"/>
                      <a:ea typeface="+mn-ea"/>
                      <a:cs typeface="+mn-cs"/>
                    </a:rPr>
                    <a:t>Workforce Analytics Dashboard</a:t>
                  </a:r>
                </a:p>
                <a:p>
                  <a:pPr algn="ctr"/>
                  <a:endParaRPr lang="en-GB"/>
                </a:p>
              </xdr:txBody>
            </xdr:sp>
            <xdr:sp macro="" textlink="">
              <xdr:nvSpPr>
                <xdr:cNvPr id="8" name="Rectangle: Rounded Corners 7">
                  <a:extLst>
                    <a:ext uri="{FF2B5EF4-FFF2-40B4-BE49-F238E27FC236}">
                      <a16:creationId xmlns:a16="http://schemas.microsoft.com/office/drawing/2014/main" id="{9F21140D-8F31-9384-E956-A19D9FFD7242}"/>
                    </a:ext>
                  </a:extLst>
                </xdr:cNvPr>
                <xdr:cNvSpPr/>
              </xdr:nvSpPr>
              <xdr:spPr>
                <a:xfrm>
                  <a:off x="2086525" y="935059"/>
                  <a:ext cx="1891115" cy="770466"/>
                </a:xfrm>
                <a:prstGeom prst="roundRect">
                  <a:avLst/>
                </a:prstGeom>
                <a:gradFill flip="none" rotWithShape="1">
                  <a:gsLst>
                    <a:gs pos="13000">
                      <a:srgbClr val="9900CC"/>
                    </a:gs>
                    <a:gs pos="40000">
                      <a:srgbClr val="3E1957"/>
                    </a:gs>
                    <a:gs pos="78000">
                      <a:schemeClr val="tx1">
                        <a:lumMod val="95000"/>
                        <a:lumOff val="5000"/>
                      </a:schemeClr>
                    </a:gs>
                  </a:gsLst>
                  <a:path path="circle">
                    <a:fillToRect l="100000" b="100000"/>
                  </a:path>
                  <a:tileRect t="-100000" r="-100000"/>
                </a:gradFill>
                <a:ln>
                  <a:noFill/>
                </a:ln>
                <a:effectLst>
                  <a:outerShdw blurRad="190500" dist="228600" dir="2700000" algn="ctr">
                    <a:srgbClr val="000000">
                      <a:alpha val="30000"/>
                    </a:srgbClr>
                  </a:outerShdw>
                </a:effectLst>
                <a:sp3d prstMaterial="matte">
                  <a:bevelT w="127000" h="63500" prst="coolSlant"/>
                </a:sp3d>
              </xdr:spPr>
              <xdr:style>
                <a:lnRef idx="2">
                  <a:schemeClr val="accent6"/>
                </a:lnRef>
                <a:fillRef idx="1">
                  <a:schemeClr val="lt1"/>
                </a:fillRef>
                <a:effectRef idx="0">
                  <a:schemeClr val="accent6"/>
                </a:effectRef>
                <a:fontRef idx="minor">
                  <a:schemeClr val="dk1"/>
                </a:fontRef>
              </xdr:style>
              <xdr:txBody>
                <a:bodyPr wrap="square" rtlCol="0" anchor="t"/>
                <a:lstStyle>
                  <a:defPPr>
                    <a:defRPr lang="en-US"/>
                  </a:defPPr>
                  <a:lvl1pPr marL="0" algn="l" defTabSz="457142" rtl="0" eaLnBrk="1" latinLnBrk="0" hangingPunct="1">
                    <a:defRPr sz="1800" kern="1200">
                      <a:solidFill>
                        <a:schemeClr val="dk1"/>
                      </a:solidFill>
                      <a:latin typeface="+mn-lt"/>
                      <a:ea typeface="+mn-ea"/>
                      <a:cs typeface="+mn-cs"/>
                    </a:defRPr>
                  </a:lvl1pPr>
                  <a:lvl2pPr marL="457142" algn="l" defTabSz="457142" rtl="0" eaLnBrk="1" latinLnBrk="0" hangingPunct="1">
                    <a:defRPr sz="1800" kern="1200">
                      <a:solidFill>
                        <a:schemeClr val="dk1"/>
                      </a:solidFill>
                      <a:latin typeface="+mn-lt"/>
                      <a:ea typeface="+mn-ea"/>
                      <a:cs typeface="+mn-cs"/>
                    </a:defRPr>
                  </a:lvl2pPr>
                  <a:lvl3pPr marL="914284" algn="l" defTabSz="457142" rtl="0" eaLnBrk="1" latinLnBrk="0" hangingPunct="1">
                    <a:defRPr sz="1800" kern="1200">
                      <a:solidFill>
                        <a:schemeClr val="dk1"/>
                      </a:solidFill>
                      <a:latin typeface="+mn-lt"/>
                      <a:ea typeface="+mn-ea"/>
                      <a:cs typeface="+mn-cs"/>
                    </a:defRPr>
                  </a:lvl3pPr>
                  <a:lvl4pPr marL="1371426" algn="l" defTabSz="457142" rtl="0" eaLnBrk="1" latinLnBrk="0" hangingPunct="1">
                    <a:defRPr sz="1800" kern="1200">
                      <a:solidFill>
                        <a:schemeClr val="dk1"/>
                      </a:solidFill>
                      <a:latin typeface="+mn-lt"/>
                      <a:ea typeface="+mn-ea"/>
                      <a:cs typeface="+mn-cs"/>
                    </a:defRPr>
                  </a:lvl4pPr>
                  <a:lvl5pPr marL="1828567" algn="l" defTabSz="457142" rtl="0" eaLnBrk="1" latinLnBrk="0" hangingPunct="1">
                    <a:defRPr sz="1800" kern="1200">
                      <a:solidFill>
                        <a:schemeClr val="dk1"/>
                      </a:solidFill>
                      <a:latin typeface="+mn-lt"/>
                      <a:ea typeface="+mn-ea"/>
                      <a:cs typeface="+mn-cs"/>
                    </a:defRPr>
                  </a:lvl5pPr>
                  <a:lvl6pPr marL="2285709" algn="l" defTabSz="457142" rtl="0" eaLnBrk="1" latinLnBrk="0" hangingPunct="1">
                    <a:defRPr sz="1800" kern="1200">
                      <a:solidFill>
                        <a:schemeClr val="dk1"/>
                      </a:solidFill>
                      <a:latin typeface="+mn-lt"/>
                      <a:ea typeface="+mn-ea"/>
                      <a:cs typeface="+mn-cs"/>
                    </a:defRPr>
                  </a:lvl6pPr>
                  <a:lvl7pPr marL="2742851" algn="l" defTabSz="457142" rtl="0" eaLnBrk="1" latinLnBrk="0" hangingPunct="1">
                    <a:defRPr sz="1800" kern="1200">
                      <a:solidFill>
                        <a:schemeClr val="dk1"/>
                      </a:solidFill>
                      <a:latin typeface="+mn-lt"/>
                      <a:ea typeface="+mn-ea"/>
                      <a:cs typeface="+mn-cs"/>
                    </a:defRPr>
                  </a:lvl7pPr>
                  <a:lvl8pPr marL="3199994" algn="l" defTabSz="457142" rtl="0" eaLnBrk="1" latinLnBrk="0" hangingPunct="1">
                    <a:defRPr sz="1800" kern="1200">
                      <a:solidFill>
                        <a:schemeClr val="dk1"/>
                      </a:solidFill>
                      <a:latin typeface="+mn-lt"/>
                      <a:ea typeface="+mn-ea"/>
                      <a:cs typeface="+mn-cs"/>
                    </a:defRPr>
                  </a:lvl8pPr>
                  <a:lvl9pPr marL="3657136" algn="l" defTabSz="457142" rtl="0" eaLnBrk="1" latinLnBrk="0" hangingPunct="1">
                    <a:defRPr sz="1800" kern="1200">
                      <a:solidFill>
                        <a:schemeClr val="dk1"/>
                      </a:solidFill>
                      <a:latin typeface="+mn-lt"/>
                      <a:ea typeface="+mn-ea"/>
                      <a:cs typeface="+mn-cs"/>
                    </a:defRPr>
                  </a:lvl9pPr>
                </a:lstStyle>
                <a:p>
                  <a:pPr algn="ctr"/>
                  <a:r>
                    <a:rPr lang="en-GB" sz="2400" b="1">
                      <a:solidFill>
                        <a:schemeClr val="accent5">
                          <a:lumMod val="20000"/>
                          <a:lumOff val="80000"/>
                        </a:schemeClr>
                      </a:solidFill>
                      <a:latin typeface="Franklin Gothic Medium Cond" panose="020B0606030402020204" pitchFamily="34" charset="0"/>
                    </a:rPr>
                    <a:t>Avg Tenure</a:t>
                  </a:r>
                </a:p>
                <a:p>
                  <a:pPr algn="ctr"/>
                  <a:endParaRPr lang="en-GB" sz="2400" b="1">
                    <a:solidFill>
                      <a:schemeClr val="accent5">
                        <a:lumMod val="20000"/>
                        <a:lumOff val="80000"/>
                      </a:schemeClr>
                    </a:solidFill>
                    <a:latin typeface="Franklin Gothic Medium Cond" panose="020B0606030402020204" pitchFamily="34" charset="0"/>
                  </a:endParaRPr>
                </a:p>
              </xdr:txBody>
            </xdr:sp>
            <xdr:sp macro="" textlink="">
              <xdr:nvSpPr>
                <xdr:cNvPr id="9" name="Rectangle: Rounded Corners 8">
                  <a:extLst>
                    <a:ext uri="{FF2B5EF4-FFF2-40B4-BE49-F238E27FC236}">
                      <a16:creationId xmlns:a16="http://schemas.microsoft.com/office/drawing/2014/main" id="{6730C5B4-68E9-16E7-2AD8-9CBA836F0F9E}"/>
                    </a:ext>
                  </a:extLst>
                </xdr:cNvPr>
                <xdr:cNvSpPr/>
              </xdr:nvSpPr>
              <xdr:spPr>
                <a:xfrm>
                  <a:off x="4079917" y="935059"/>
                  <a:ext cx="1891115" cy="770466"/>
                </a:xfrm>
                <a:prstGeom prst="roundRect">
                  <a:avLst/>
                </a:prstGeom>
                <a:gradFill flip="none" rotWithShape="1">
                  <a:gsLst>
                    <a:gs pos="13000">
                      <a:srgbClr val="9900CC"/>
                    </a:gs>
                    <a:gs pos="40000">
                      <a:srgbClr val="3E1957"/>
                    </a:gs>
                    <a:gs pos="78000">
                      <a:schemeClr val="tx1">
                        <a:lumMod val="95000"/>
                        <a:lumOff val="5000"/>
                      </a:schemeClr>
                    </a:gs>
                  </a:gsLst>
                  <a:path path="circle">
                    <a:fillToRect l="100000" b="100000"/>
                  </a:path>
                  <a:tileRect t="-100000" r="-100000"/>
                </a:gradFill>
                <a:ln>
                  <a:noFill/>
                </a:ln>
                <a:effectLst>
                  <a:outerShdw blurRad="190500" dist="228600" dir="2700000" algn="ctr">
                    <a:srgbClr val="000000">
                      <a:alpha val="30000"/>
                    </a:srgbClr>
                  </a:outerShdw>
                </a:effectLst>
                <a:sp3d prstMaterial="matte">
                  <a:bevelT w="127000" h="63500" prst="coolSlant"/>
                </a:sp3d>
              </xdr:spPr>
              <xdr:style>
                <a:lnRef idx="2">
                  <a:schemeClr val="accent6"/>
                </a:lnRef>
                <a:fillRef idx="1">
                  <a:schemeClr val="lt1"/>
                </a:fillRef>
                <a:effectRef idx="0">
                  <a:schemeClr val="accent6"/>
                </a:effectRef>
                <a:fontRef idx="minor">
                  <a:schemeClr val="dk1"/>
                </a:fontRef>
              </xdr:style>
              <xdr:txBody>
                <a:bodyPr wrap="square" rtlCol="0" anchor="t"/>
                <a:lstStyle>
                  <a:defPPr>
                    <a:defRPr lang="en-US"/>
                  </a:defPPr>
                  <a:lvl1pPr marL="0" algn="l" defTabSz="457142" rtl="0" eaLnBrk="1" latinLnBrk="0" hangingPunct="1">
                    <a:defRPr sz="1800" kern="1200">
                      <a:solidFill>
                        <a:schemeClr val="dk1"/>
                      </a:solidFill>
                      <a:latin typeface="+mn-lt"/>
                      <a:ea typeface="+mn-ea"/>
                      <a:cs typeface="+mn-cs"/>
                    </a:defRPr>
                  </a:lvl1pPr>
                  <a:lvl2pPr marL="457142" algn="l" defTabSz="457142" rtl="0" eaLnBrk="1" latinLnBrk="0" hangingPunct="1">
                    <a:defRPr sz="1800" kern="1200">
                      <a:solidFill>
                        <a:schemeClr val="dk1"/>
                      </a:solidFill>
                      <a:latin typeface="+mn-lt"/>
                      <a:ea typeface="+mn-ea"/>
                      <a:cs typeface="+mn-cs"/>
                    </a:defRPr>
                  </a:lvl2pPr>
                  <a:lvl3pPr marL="914284" algn="l" defTabSz="457142" rtl="0" eaLnBrk="1" latinLnBrk="0" hangingPunct="1">
                    <a:defRPr sz="1800" kern="1200">
                      <a:solidFill>
                        <a:schemeClr val="dk1"/>
                      </a:solidFill>
                      <a:latin typeface="+mn-lt"/>
                      <a:ea typeface="+mn-ea"/>
                      <a:cs typeface="+mn-cs"/>
                    </a:defRPr>
                  </a:lvl3pPr>
                  <a:lvl4pPr marL="1371426" algn="l" defTabSz="457142" rtl="0" eaLnBrk="1" latinLnBrk="0" hangingPunct="1">
                    <a:defRPr sz="1800" kern="1200">
                      <a:solidFill>
                        <a:schemeClr val="dk1"/>
                      </a:solidFill>
                      <a:latin typeface="+mn-lt"/>
                      <a:ea typeface="+mn-ea"/>
                      <a:cs typeface="+mn-cs"/>
                    </a:defRPr>
                  </a:lvl4pPr>
                  <a:lvl5pPr marL="1828567" algn="l" defTabSz="457142" rtl="0" eaLnBrk="1" latinLnBrk="0" hangingPunct="1">
                    <a:defRPr sz="1800" kern="1200">
                      <a:solidFill>
                        <a:schemeClr val="dk1"/>
                      </a:solidFill>
                      <a:latin typeface="+mn-lt"/>
                      <a:ea typeface="+mn-ea"/>
                      <a:cs typeface="+mn-cs"/>
                    </a:defRPr>
                  </a:lvl5pPr>
                  <a:lvl6pPr marL="2285709" algn="l" defTabSz="457142" rtl="0" eaLnBrk="1" latinLnBrk="0" hangingPunct="1">
                    <a:defRPr sz="1800" kern="1200">
                      <a:solidFill>
                        <a:schemeClr val="dk1"/>
                      </a:solidFill>
                      <a:latin typeface="+mn-lt"/>
                      <a:ea typeface="+mn-ea"/>
                      <a:cs typeface="+mn-cs"/>
                    </a:defRPr>
                  </a:lvl6pPr>
                  <a:lvl7pPr marL="2742851" algn="l" defTabSz="457142" rtl="0" eaLnBrk="1" latinLnBrk="0" hangingPunct="1">
                    <a:defRPr sz="1800" kern="1200">
                      <a:solidFill>
                        <a:schemeClr val="dk1"/>
                      </a:solidFill>
                      <a:latin typeface="+mn-lt"/>
                      <a:ea typeface="+mn-ea"/>
                      <a:cs typeface="+mn-cs"/>
                    </a:defRPr>
                  </a:lvl7pPr>
                  <a:lvl8pPr marL="3199994" algn="l" defTabSz="457142" rtl="0" eaLnBrk="1" latinLnBrk="0" hangingPunct="1">
                    <a:defRPr sz="1800" kern="1200">
                      <a:solidFill>
                        <a:schemeClr val="dk1"/>
                      </a:solidFill>
                      <a:latin typeface="+mn-lt"/>
                      <a:ea typeface="+mn-ea"/>
                      <a:cs typeface="+mn-cs"/>
                    </a:defRPr>
                  </a:lvl8pPr>
                  <a:lvl9pPr marL="3657136" algn="l" defTabSz="457142" rtl="0" eaLnBrk="1" latinLnBrk="0" hangingPunct="1">
                    <a:defRPr sz="1800" kern="1200">
                      <a:solidFill>
                        <a:schemeClr val="dk1"/>
                      </a:solidFill>
                      <a:latin typeface="+mn-lt"/>
                      <a:ea typeface="+mn-ea"/>
                      <a:cs typeface="+mn-cs"/>
                    </a:defRPr>
                  </a:lvl9pPr>
                </a:lstStyle>
                <a:p>
                  <a:pPr marL="0" marR="0" lvl="0" indent="0" algn="ctr" defTabSz="457142" rtl="0" eaLnBrk="1" fontAlgn="auto" latinLnBrk="0" hangingPunct="1">
                    <a:lnSpc>
                      <a:spcPct val="100000"/>
                    </a:lnSpc>
                    <a:spcBef>
                      <a:spcPts val="0"/>
                    </a:spcBef>
                    <a:spcAft>
                      <a:spcPts val="0"/>
                    </a:spcAft>
                    <a:buClrTx/>
                    <a:buSzTx/>
                    <a:buFontTx/>
                    <a:buNone/>
                    <a:tabLst/>
                    <a:defRPr/>
                  </a:pPr>
                  <a:r>
                    <a:rPr lang="en-GB" sz="2400" b="1" i="0" kern="1200">
                      <a:solidFill>
                        <a:schemeClr val="accent5">
                          <a:lumMod val="20000"/>
                          <a:lumOff val="80000"/>
                        </a:schemeClr>
                      </a:solidFill>
                      <a:effectLst/>
                      <a:latin typeface="Franklin Gothic Medium Cond" panose="020B0606030402020204" pitchFamily="34" charset="0"/>
                      <a:ea typeface="+mn-ea"/>
                      <a:cs typeface="+mn-cs"/>
                    </a:rPr>
                    <a:t>Total Monthly Payroll</a:t>
                  </a:r>
                </a:p>
                <a:p>
                  <a:pPr algn="ctr"/>
                  <a:endParaRPr lang="en-GB" sz="2400" b="1">
                    <a:solidFill>
                      <a:schemeClr val="accent5">
                        <a:lumMod val="20000"/>
                        <a:lumOff val="80000"/>
                      </a:schemeClr>
                    </a:solidFill>
                    <a:latin typeface="Franklin Gothic Medium Cond" panose="020B0606030402020204" pitchFamily="34" charset="0"/>
                  </a:endParaRPr>
                </a:p>
              </xdr:txBody>
            </xdr:sp>
            <xdr:sp macro="" textlink="">
              <xdr:nvSpPr>
                <xdr:cNvPr id="10" name="Rectangle: Rounded Corners 9">
                  <a:extLst>
                    <a:ext uri="{FF2B5EF4-FFF2-40B4-BE49-F238E27FC236}">
                      <a16:creationId xmlns:a16="http://schemas.microsoft.com/office/drawing/2014/main" id="{0CFE8181-37C5-71AB-E2FE-29314EBE6CD7}"/>
                    </a:ext>
                  </a:extLst>
                </xdr:cNvPr>
                <xdr:cNvSpPr/>
              </xdr:nvSpPr>
              <xdr:spPr>
                <a:xfrm>
                  <a:off x="6096000" y="935059"/>
                  <a:ext cx="1891115" cy="770466"/>
                </a:xfrm>
                <a:prstGeom prst="roundRect">
                  <a:avLst/>
                </a:prstGeom>
                <a:gradFill flip="none" rotWithShape="1">
                  <a:gsLst>
                    <a:gs pos="13000">
                      <a:srgbClr val="9900CC"/>
                    </a:gs>
                    <a:gs pos="40000">
                      <a:srgbClr val="3E1957"/>
                    </a:gs>
                    <a:gs pos="78000">
                      <a:schemeClr val="tx1">
                        <a:lumMod val="95000"/>
                        <a:lumOff val="5000"/>
                      </a:schemeClr>
                    </a:gs>
                  </a:gsLst>
                  <a:path path="circle">
                    <a:fillToRect l="100000" b="100000"/>
                  </a:path>
                  <a:tileRect t="-100000" r="-100000"/>
                </a:gradFill>
                <a:ln>
                  <a:noFill/>
                </a:ln>
                <a:effectLst>
                  <a:outerShdw blurRad="190500" dist="228600" dir="2700000" algn="ctr">
                    <a:srgbClr val="000000">
                      <a:alpha val="30000"/>
                    </a:srgbClr>
                  </a:outerShdw>
                </a:effectLst>
                <a:sp3d prstMaterial="matte">
                  <a:bevelT w="127000" h="63500" prst="coolSlant"/>
                </a:sp3d>
              </xdr:spPr>
              <xdr:style>
                <a:lnRef idx="2">
                  <a:schemeClr val="accent6"/>
                </a:lnRef>
                <a:fillRef idx="1">
                  <a:schemeClr val="lt1"/>
                </a:fillRef>
                <a:effectRef idx="0">
                  <a:schemeClr val="accent6"/>
                </a:effectRef>
                <a:fontRef idx="minor">
                  <a:schemeClr val="dk1"/>
                </a:fontRef>
              </xdr:style>
              <xdr:txBody>
                <a:bodyPr wrap="square" rtlCol="0" anchor="t"/>
                <a:lstStyle>
                  <a:defPPr>
                    <a:defRPr lang="en-US"/>
                  </a:defPPr>
                  <a:lvl1pPr marL="0" algn="l" defTabSz="457142" rtl="0" eaLnBrk="1" latinLnBrk="0" hangingPunct="1">
                    <a:defRPr sz="1800" kern="1200">
                      <a:solidFill>
                        <a:schemeClr val="dk1"/>
                      </a:solidFill>
                      <a:latin typeface="+mn-lt"/>
                      <a:ea typeface="+mn-ea"/>
                      <a:cs typeface="+mn-cs"/>
                    </a:defRPr>
                  </a:lvl1pPr>
                  <a:lvl2pPr marL="457142" algn="l" defTabSz="457142" rtl="0" eaLnBrk="1" latinLnBrk="0" hangingPunct="1">
                    <a:defRPr sz="1800" kern="1200">
                      <a:solidFill>
                        <a:schemeClr val="dk1"/>
                      </a:solidFill>
                      <a:latin typeface="+mn-lt"/>
                      <a:ea typeface="+mn-ea"/>
                      <a:cs typeface="+mn-cs"/>
                    </a:defRPr>
                  </a:lvl2pPr>
                  <a:lvl3pPr marL="914284" algn="l" defTabSz="457142" rtl="0" eaLnBrk="1" latinLnBrk="0" hangingPunct="1">
                    <a:defRPr sz="1800" kern="1200">
                      <a:solidFill>
                        <a:schemeClr val="dk1"/>
                      </a:solidFill>
                      <a:latin typeface="+mn-lt"/>
                      <a:ea typeface="+mn-ea"/>
                      <a:cs typeface="+mn-cs"/>
                    </a:defRPr>
                  </a:lvl3pPr>
                  <a:lvl4pPr marL="1371426" algn="l" defTabSz="457142" rtl="0" eaLnBrk="1" latinLnBrk="0" hangingPunct="1">
                    <a:defRPr sz="1800" kern="1200">
                      <a:solidFill>
                        <a:schemeClr val="dk1"/>
                      </a:solidFill>
                      <a:latin typeface="+mn-lt"/>
                      <a:ea typeface="+mn-ea"/>
                      <a:cs typeface="+mn-cs"/>
                    </a:defRPr>
                  </a:lvl4pPr>
                  <a:lvl5pPr marL="1828567" algn="l" defTabSz="457142" rtl="0" eaLnBrk="1" latinLnBrk="0" hangingPunct="1">
                    <a:defRPr sz="1800" kern="1200">
                      <a:solidFill>
                        <a:schemeClr val="dk1"/>
                      </a:solidFill>
                      <a:latin typeface="+mn-lt"/>
                      <a:ea typeface="+mn-ea"/>
                      <a:cs typeface="+mn-cs"/>
                    </a:defRPr>
                  </a:lvl5pPr>
                  <a:lvl6pPr marL="2285709" algn="l" defTabSz="457142" rtl="0" eaLnBrk="1" latinLnBrk="0" hangingPunct="1">
                    <a:defRPr sz="1800" kern="1200">
                      <a:solidFill>
                        <a:schemeClr val="dk1"/>
                      </a:solidFill>
                      <a:latin typeface="+mn-lt"/>
                      <a:ea typeface="+mn-ea"/>
                      <a:cs typeface="+mn-cs"/>
                    </a:defRPr>
                  </a:lvl6pPr>
                  <a:lvl7pPr marL="2742851" algn="l" defTabSz="457142" rtl="0" eaLnBrk="1" latinLnBrk="0" hangingPunct="1">
                    <a:defRPr sz="1800" kern="1200">
                      <a:solidFill>
                        <a:schemeClr val="dk1"/>
                      </a:solidFill>
                      <a:latin typeface="+mn-lt"/>
                      <a:ea typeface="+mn-ea"/>
                      <a:cs typeface="+mn-cs"/>
                    </a:defRPr>
                  </a:lvl7pPr>
                  <a:lvl8pPr marL="3199994" algn="l" defTabSz="457142" rtl="0" eaLnBrk="1" latinLnBrk="0" hangingPunct="1">
                    <a:defRPr sz="1800" kern="1200">
                      <a:solidFill>
                        <a:schemeClr val="dk1"/>
                      </a:solidFill>
                      <a:latin typeface="+mn-lt"/>
                      <a:ea typeface="+mn-ea"/>
                      <a:cs typeface="+mn-cs"/>
                    </a:defRPr>
                  </a:lvl8pPr>
                  <a:lvl9pPr marL="3657136" algn="l" defTabSz="457142" rtl="0" eaLnBrk="1" latinLnBrk="0" hangingPunct="1">
                    <a:defRPr sz="1800" kern="1200">
                      <a:solidFill>
                        <a:schemeClr val="dk1"/>
                      </a:solidFill>
                      <a:latin typeface="+mn-lt"/>
                      <a:ea typeface="+mn-ea"/>
                      <a:cs typeface="+mn-cs"/>
                    </a:defRPr>
                  </a:lvl9pPr>
                </a:lstStyle>
                <a:p>
                  <a:pPr algn="ctr"/>
                  <a:r>
                    <a:rPr lang="en-GB" sz="2400" b="1">
                      <a:solidFill>
                        <a:schemeClr val="accent5">
                          <a:lumMod val="20000"/>
                          <a:lumOff val="80000"/>
                        </a:schemeClr>
                      </a:solidFill>
                      <a:latin typeface="Franklin Gothic Medium Cond" panose="020B0606030402020204" pitchFamily="34" charset="0"/>
                    </a:rPr>
                    <a:t>Avg Annual Salary</a:t>
                  </a:r>
                </a:p>
              </xdr:txBody>
            </xdr:sp>
            <xdr:sp macro="" textlink="">
              <xdr:nvSpPr>
                <xdr:cNvPr id="11" name="Rectangle: Rounded Corners 10">
                  <a:extLst>
                    <a:ext uri="{FF2B5EF4-FFF2-40B4-BE49-F238E27FC236}">
                      <a16:creationId xmlns:a16="http://schemas.microsoft.com/office/drawing/2014/main" id="{30A7F101-B9E2-229C-BD36-6D6A60E03B39}"/>
                    </a:ext>
                  </a:extLst>
                </xdr:cNvPr>
                <xdr:cNvSpPr/>
              </xdr:nvSpPr>
              <xdr:spPr>
                <a:xfrm>
                  <a:off x="8112083" y="935059"/>
                  <a:ext cx="1891115" cy="770466"/>
                </a:xfrm>
                <a:prstGeom prst="roundRect">
                  <a:avLst/>
                </a:prstGeom>
                <a:gradFill flip="none" rotWithShape="1">
                  <a:gsLst>
                    <a:gs pos="13000">
                      <a:srgbClr val="9900CC"/>
                    </a:gs>
                    <a:gs pos="40000">
                      <a:srgbClr val="3E1957"/>
                    </a:gs>
                    <a:gs pos="78000">
                      <a:schemeClr val="tx1">
                        <a:lumMod val="95000"/>
                        <a:lumOff val="5000"/>
                      </a:schemeClr>
                    </a:gs>
                  </a:gsLst>
                  <a:path path="circle">
                    <a:fillToRect l="100000" b="100000"/>
                  </a:path>
                  <a:tileRect t="-100000" r="-100000"/>
                </a:gradFill>
                <a:ln>
                  <a:noFill/>
                </a:ln>
                <a:effectLst>
                  <a:outerShdw blurRad="190500" dist="228600" dir="2700000" algn="ctr">
                    <a:srgbClr val="000000">
                      <a:alpha val="30000"/>
                    </a:srgbClr>
                  </a:outerShdw>
                </a:effectLst>
                <a:sp3d prstMaterial="matte">
                  <a:bevelT w="127000" h="63500" prst="coolSlant"/>
                </a:sp3d>
              </xdr:spPr>
              <xdr:style>
                <a:lnRef idx="2">
                  <a:schemeClr val="accent6"/>
                </a:lnRef>
                <a:fillRef idx="1">
                  <a:schemeClr val="lt1"/>
                </a:fillRef>
                <a:effectRef idx="0">
                  <a:schemeClr val="accent6"/>
                </a:effectRef>
                <a:fontRef idx="minor">
                  <a:schemeClr val="dk1"/>
                </a:fontRef>
              </xdr:style>
              <xdr:txBody>
                <a:bodyPr wrap="square" rtlCol="0" anchor="t"/>
                <a:lstStyle>
                  <a:defPPr>
                    <a:defRPr lang="en-US"/>
                  </a:defPPr>
                  <a:lvl1pPr marL="0" algn="l" defTabSz="457142" rtl="0" eaLnBrk="1" latinLnBrk="0" hangingPunct="1">
                    <a:defRPr sz="1800" kern="1200">
                      <a:solidFill>
                        <a:schemeClr val="dk1"/>
                      </a:solidFill>
                      <a:latin typeface="+mn-lt"/>
                      <a:ea typeface="+mn-ea"/>
                      <a:cs typeface="+mn-cs"/>
                    </a:defRPr>
                  </a:lvl1pPr>
                  <a:lvl2pPr marL="457142" algn="l" defTabSz="457142" rtl="0" eaLnBrk="1" latinLnBrk="0" hangingPunct="1">
                    <a:defRPr sz="1800" kern="1200">
                      <a:solidFill>
                        <a:schemeClr val="dk1"/>
                      </a:solidFill>
                      <a:latin typeface="+mn-lt"/>
                      <a:ea typeface="+mn-ea"/>
                      <a:cs typeface="+mn-cs"/>
                    </a:defRPr>
                  </a:lvl2pPr>
                  <a:lvl3pPr marL="914284" algn="l" defTabSz="457142" rtl="0" eaLnBrk="1" latinLnBrk="0" hangingPunct="1">
                    <a:defRPr sz="1800" kern="1200">
                      <a:solidFill>
                        <a:schemeClr val="dk1"/>
                      </a:solidFill>
                      <a:latin typeface="+mn-lt"/>
                      <a:ea typeface="+mn-ea"/>
                      <a:cs typeface="+mn-cs"/>
                    </a:defRPr>
                  </a:lvl3pPr>
                  <a:lvl4pPr marL="1371426" algn="l" defTabSz="457142" rtl="0" eaLnBrk="1" latinLnBrk="0" hangingPunct="1">
                    <a:defRPr sz="1800" kern="1200">
                      <a:solidFill>
                        <a:schemeClr val="dk1"/>
                      </a:solidFill>
                      <a:latin typeface="+mn-lt"/>
                      <a:ea typeface="+mn-ea"/>
                      <a:cs typeface="+mn-cs"/>
                    </a:defRPr>
                  </a:lvl4pPr>
                  <a:lvl5pPr marL="1828567" algn="l" defTabSz="457142" rtl="0" eaLnBrk="1" latinLnBrk="0" hangingPunct="1">
                    <a:defRPr sz="1800" kern="1200">
                      <a:solidFill>
                        <a:schemeClr val="dk1"/>
                      </a:solidFill>
                      <a:latin typeface="+mn-lt"/>
                      <a:ea typeface="+mn-ea"/>
                      <a:cs typeface="+mn-cs"/>
                    </a:defRPr>
                  </a:lvl5pPr>
                  <a:lvl6pPr marL="2285709" algn="l" defTabSz="457142" rtl="0" eaLnBrk="1" latinLnBrk="0" hangingPunct="1">
                    <a:defRPr sz="1800" kern="1200">
                      <a:solidFill>
                        <a:schemeClr val="dk1"/>
                      </a:solidFill>
                      <a:latin typeface="+mn-lt"/>
                      <a:ea typeface="+mn-ea"/>
                      <a:cs typeface="+mn-cs"/>
                    </a:defRPr>
                  </a:lvl6pPr>
                  <a:lvl7pPr marL="2742851" algn="l" defTabSz="457142" rtl="0" eaLnBrk="1" latinLnBrk="0" hangingPunct="1">
                    <a:defRPr sz="1800" kern="1200">
                      <a:solidFill>
                        <a:schemeClr val="dk1"/>
                      </a:solidFill>
                      <a:latin typeface="+mn-lt"/>
                      <a:ea typeface="+mn-ea"/>
                      <a:cs typeface="+mn-cs"/>
                    </a:defRPr>
                  </a:lvl7pPr>
                  <a:lvl8pPr marL="3199994" algn="l" defTabSz="457142" rtl="0" eaLnBrk="1" latinLnBrk="0" hangingPunct="1">
                    <a:defRPr sz="1800" kern="1200">
                      <a:solidFill>
                        <a:schemeClr val="dk1"/>
                      </a:solidFill>
                      <a:latin typeface="+mn-lt"/>
                      <a:ea typeface="+mn-ea"/>
                      <a:cs typeface="+mn-cs"/>
                    </a:defRPr>
                  </a:lvl8pPr>
                  <a:lvl9pPr marL="3657136" algn="l" defTabSz="457142" rtl="0" eaLnBrk="1" latinLnBrk="0" hangingPunct="1">
                    <a:defRPr sz="1800" kern="1200">
                      <a:solidFill>
                        <a:schemeClr val="dk1"/>
                      </a:solidFill>
                      <a:latin typeface="+mn-lt"/>
                      <a:ea typeface="+mn-ea"/>
                      <a:cs typeface="+mn-cs"/>
                    </a:defRPr>
                  </a:lvl9pPr>
                </a:lstStyle>
                <a:p>
                  <a:pPr algn="ctr"/>
                  <a:r>
                    <a:rPr lang="en-GB" sz="2400" b="1">
                      <a:solidFill>
                        <a:schemeClr val="accent5">
                          <a:lumMod val="20000"/>
                          <a:lumOff val="80000"/>
                        </a:schemeClr>
                      </a:solidFill>
                      <a:latin typeface="Franklin Gothic Medium Cond" panose="020B0606030402020204" pitchFamily="34" charset="0"/>
                    </a:rPr>
                    <a:t>Avg Sick Leave</a:t>
                  </a:r>
                </a:p>
                <a:p>
                  <a:pPr algn="ctr"/>
                  <a:endParaRPr lang="en-GB" sz="2400" b="1">
                    <a:solidFill>
                      <a:schemeClr val="accent5">
                        <a:lumMod val="20000"/>
                        <a:lumOff val="80000"/>
                      </a:schemeClr>
                    </a:solidFill>
                    <a:latin typeface="Franklin Gothic Medium Cond" panose="020B0606030402020204" pitchFamily="34" charset="0"/>
                  </a:endParaRPr>
                </a:p>
              </xdr:txBody>
            </xdr:sp>
            <xdr:sp macro="" textlink="">
              <xdr:nvSpPr>
                <xdr:cNvPr id="12" name="Rectangle: Rounded Corners 11">
                  <a:extLst>
                    <a:ext uri="{FF2B5EF4-FFF2-40B4-BE49-F238E27FC236}">
                      <a16:creationId xmlns:a16="http://schemas.microsoft.com/office/drawing/2014/main" id="{855FCED9-3008-FEFB-08B2-EDBD90EEE69A}"/>
                    </a:ext>
                  </a:extLst>
                </xdr:cNvPr>
                <xdr:cNvSpPr/>
              </xdr:nvSpPr>
              <xdr:spPr>
                <a:xfrm>
                  <a:off x="10105475" y="935059"/>
                  <a:ext cx="1891115" cy="770466"/>
                </a:xfrm>
                <a:prstGeom prst="roundRect">
                  <a:avLst/>
                </a:prstGeom>
                <a:gradFill flip="none" rotWithShape="1">
                  <a:gsLst>
                    <a:gs pos="13000">
                      <a:srgbClr val="9900CC"/>
                    </a:gs>
                    <a:gs pos="40000">
                      <a:srgbClr val="3E1957"/>
                    </a:gs>
                    <a:gs pos="78000">
                      <a:schemeClr val="tx1">
                        <a:lumMod val="95000"/>
                        <a:lumOff val="5000"/>
                      </a:schemeClr>
                    </a:gs>
                  </a:gsLst>
                  <a:path path="circle">
                    <a:fillToRect l="100000" b="100000"/>
                  </a:path>
                  <a:tileRect t="-100000" r="-100000"/>
                </a:gradFill>
                <a:ln>
                  <a:noFill/>
                </a:ln>
                <a:effectLst>
                  <a:outerShdw blurRad="190500" dist="228600" dir="2700000" algn="ctr">
                    <a:srgbClr val="000000">
                      <a:alpha val="30000"/>
                    </a:srgbClr>
                  </a:outerShdw>
                </a:effectLst>
                <a:sp3d prstMaterial="matte">
                  <a:bevelT w="127000" h="63500" prst="coolSlant"/>
                </a:sp3d>
              </xdr:spPr>
              <xdr:style>
                <a:lnRef idx="2">
                  <a:schemeClr val="accent6"/>
                </a:lnRef>
                <a:fillRef idx="1">
                  <a:schemeClr val="lt1"/>
                </a:fillRef>
                <a:effectRef idx="0">
                  <a:schemeClr val="accent6"/>
                </a:effectRef>
                <a:fontRef idx="minor">
                  <a:schemeClr val="dk1"/>
                </a:fontRef>
              </xdr:style>
              <xdr:txBody>
                <a:bodyPr wrap="square" rtlCol="0" anchor="t"/>
                <a:lstStyle>
                  <a:defPPr>
                    <a:defRPr lang="en-US"/>
                  </a:defPPr>
                  <a:lvl1pPr marL="0" algn="l" defTabSz="457142" rtl="0" eaLnBrk="1" latinLnBrk="0" hangingPunct="1">
                    <a:defRPr sz="1800" kern="1200">
                      <a:solidFill>
                        <a:schemeClr val="dk1"/>
                      </a:solidFill>
                      <a:latin typeface="+mn-lt"/>
                      <a:ea typeface="+mn-ea"/>
                      <a:cs typeface="+mn-cs"/>
                    </a:defRPr>
                  </a:lvl1pPr>
                  <a:lvl2pPr marL="457142" algn="l" defTabSz="457142" rtl="0" eaLnBrk="1" latinLnBrk="0" hangingPunct="1">
                    <a:defRPr sz="1800" kern="1200">
                      <a:solidFill>
                        <a:schemeClr val="dk1"/>
                      </a:solidFill>
                      <a:latin typeface="+mn-lt"/>
                      <a:ea typeface="+mn-ea"/>
                      <a:cs typeface="+mn-cs"/>
                    </a:defRPr>
                  </a:lvl2pPr>
                  <a:lvl3pPr marL="914284" algn="l" defTabSz="457142" rtl="0" eaLnBrk="1" latinLnBrk="0" hangingPunct="1">
                    <a:defRPr sz="1800" kern="1200">
                      <a:solidFill>
                        <a:schemeClr val="dk1"/>
                      </a:solidFill>
                      <a:latin typeface="+mn-lt"/>
                      <a:ea typeface="+mn-ea"/>
                      <a:cs typeface="+mn-cs"/>
                    </a:defRPr>
                  </a:lvl3pPr>
                  <a:lvl4pPr marL="1371426" algn="l" defTabSz="457142" rtl="0" eaLnBrk="1" latinLnBrk="0" hangingPunct="1">
                    <a:defRPr sz="1800" kern="1200">
                      <a:solidFill>
                        <a:schemeClr val="dk1"/>
                      </a:solidFill>
                      <a:latin typeface="+mn-lt"/>
                      <a:ea typeface="+mn-ea"/>
                      <a:cs typeface="+mn-cs"/>
                    </a:defRPr>
                  </a:lvl4pPr>
                  <a:lvl5pPr marL="1828567" algn="l" defTabSz="457142" rtl="0" eaLnBrk="1" latinLnBrk="0" hangingPunct="1">
                    <a:defRPr sz="1800" kern="1200">
                      <a:solidFill>
                        <a:schemeClr val="dk1"/>
                      </a:solidFill>
                      <a:latin typeface="+mn-lt"/>
                      <a:ea typeface="+mn-ea"/>
                      <a:cs typeface="+mn-cs"/>
                    </a:defRPr>
                  </a:lvl5pPr>
                  <a:lvl6pPr marL="2285709" algn="l" defTabSz="457142" rtl="0" eaLnBrk="1" latinLnBrk="0" hangingPunct="1">
                    <a:defRPr sz="1800" kern="1200">
                      <a:solidFill>
                        <a:schemeClr val="dk1"/>
                      </a:solidFill>
                      <a:latin typeface="+mn-lt"/>
                      <a:ea typeface="+mn-ea"/>
                      <a:cs typeface="+mn-cs"/>
                    </a:defRPr>
                  </a:lvl6pPr>
                  <a:lvl7pPr marL="2742851" algn="l" defTabSz="457142" rtl="0" eaLnBrk="1" latinLnBrk="0" hangingPunct="1">
                    <a:defRPr sz="1800" kern="1200">
                      <a:solidFill>
                        <a:schemeClr val="dk1"/>
                      </a:solidFill>
                      <a:latin typeface="+mn-lt"/>
                      <a:ea typeface="+mn-ea"/>
                      <a:cs typeface="+mn-cs"/>
                    </a:defRPr>
                  </a:lvl7pPr>
                  <a:lvl8pPr marL="3199994" algn="l" defTabSz="457142" rtl="0" eaLnBrk="1" latinLnBrk="0" hangingPunct="1">
                    <a:defRPr sz="1800" kern="1200">
                      <a:solidFill>
                        <a:schemeClr val="dk1"/>
                      </a:solidFill>
                      <a:latin typeface="+mn-lt"/>
                      <a:ea typeface="+mn-ea"/>
                      <a:cs typeface="+mn-cs"/>
                    </a:defRPr>
                  </a:lvl8pPr>
                  <a:lvl9pPr marL="3657136" algn="l" defTabSz="457142" rtl="0" eaLnBrk="1" latinLnBrk="0" hangingPunct="1">
                    <a:defRPr sz="1800" kern="1200">
                      <a:solidFill>
                        <a:schemeClr val="dk1"/>
                      </a:solidFill>
                      <a:latin typeface="+mn-lt"/>
                      <a:ea typeface="+mn-ea"/>
                      <a:cs typeface="+mn-cs"/>
                    </a:defRPr>
                  </a:lvl9pPr>
                </a:lstStyle>
                <a:p>
                  <a:pPr algn="ctr"/>
                  <a:r>
                    <a:rPr lang="en-GB" sz="2400" b="1">
                      <a:solidFill>
                        <a:schemeClr val="accent5">
                          <a:lumMod val="20000"/>
                          <a:lumOff val="80000"/>
                        </a:schemeClr>
                      </a:solidFill>
                      <a:latin typeface="Franklin Gothic Medium Cond" panose="020B0606030402020204" pitchFamily="34" charset="0"/>
                    </a:rPr>
                    <a:t>Avg Job Rating</a:t>
                  </a:r>
                </a:p>
                <a:p>
                  <a:pPr algn="ctr"/>
                  <a:endParaRPr lang="en-GB" sz="2400" b="1">
                    <a:solidFill>
                      <a:schemeClr val="accent5">
                        <a:lumMod val="20000"/>
                        <a:lumOff val="80000"/>
                      </a:schemeClr>
                    </a:solidFill>
                    <a:latin typeface="Franklin Gothic Medium Cond" panose="020B0606030402020204" pitchFamily="34" charset="0"/>
                  </a:endParaRPr>
                </a:p>
              </xdr:txBody>
            </xdr:sp>
            <xdr:sp macro="" textlink="">
              <xdr:nvSpPr>
                <xdr:cNvPr id="13" name="Rectangle: Rounded Corners 12">
                  <a:extLst>
                    <a:ext uri="{FF2B5EF4-FFF2-40B4-BE49-F238E27FC236}">
                      <a16:creationId xmlns:a16="http://schemas.microsoft.com/office/drawing/2014/main" id="{092A52E8-D85F-D89D-1785-6DBD321DD3D0}"/>
                    </a:ext>
                  </a:extLst>
                </xdr:cNvPr>
                <xdr:cNvSpPr/>
              </xdr:nvSpPr>
              <xdr:spPr>
                <a:xfrm>
                  <a:off x="1893655" y="84667"/>
                  <a:ext cx="1710267" cy="770466"/>
                </a:xfrm>
                <a:prstGeom prst="roundRect">
                  <a:avLst/>
                </a:prstGeom>
                <a:gradFill flip="none" rotWithShape="1">
                  <a:gsLst>
                    <a:gs pos="0">
                      <a:srgbClr val="9900CC"/>
                    </a:gs>
                    <a:gs pos="13000">
                      <a:srgbClr val="3E1957"/>
                    </a:gs>
                    <a:gs pos="65000">
                      <a:schemeClr val="tx1">
                        <a:lumMod val="95000"/>
                        <a:lumOff val="5000"/>
                      </a:schemeClr>
                    </a:gs>
                  </a:gsLst>
                  <a:path path="circle">
                    <a:fillToRect l="100000" b="100000"/>
                  </a:path>
                  <a:tileRect t="-100000" r="-100000"/>
                </a:gradFill>
                <a:ln>
                  <a:noFill/>
                </a:ln>
                <a:effectLst>
                  <a:outerShdw blurRad="190500" dist="228600" dir="2700000" algn="ctr">
                    <a:srgbClr val="000000">
                      <a:alpha val="30000"/>
                    </a:srgbClr>
                  </a:outerShdw>
                </a:effectLst>
                <a:sp3d prstMaterial="matte">
                  <a:bevelT w="127000" h="63500" prst="coolSlant"/>
                </a:sp3d>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457142" rtl="0" eaLnBrk="1" latinLnBrk="0" hangingPunct="1">
                    <a:defRPr sz="1800" kern="1200">
                      <a:solidFill>
                        <a:schemeClr val="dk1"/>
                      </a:solidFill>
                      <a:latin typeface="+mn-lt"/>
                      <a:ea typeface="+mn-ea"/>
                      <a:cs typeface="+mn-cs"/>
                    </a:defRPr>
                  </a:lvl1pPr>
                  <a:lvl2pPr marL="457142" algn="l" defTabSz="457142" rtl="0" eaLnBrk="1" latinLnBrk="0" hangingPunct="1">
                    <a:defRPr sz="1800" kern="1200">
                      <a:solidFill>
                        <a:schemeClr val="dk1"/>
                      </a:solidFill>
                      <a:latin typeface="+mn-lt"/>
                      <a:ea typeface="+mn-ea"/>
                      <a:cs typeface="+mn-cs"/>
                    </a:defRPr>
                  </a:lvl2pPr>
                  <a:lvl3pPr marL="914284" algn="l" defTabSz="457142" rtl="0" eaLnBrk="1" latinLnBrk="0" hangingPunct="1">
                    <a:defRPr sz="1800" kern="1200">
                      <a:solidFill>
                        <a:schemeClr val="dk1"/>
                      </a:solidFill>
                      <a:latin typeface="+mn-lt"/>
                      <a:ea typeface="+mn-ea"/>
                      <a:cs typeface="+mn-cs"/>
                    </a:defRPr>
                  </a:lvl3pPr>
                  <a:lvl4pPr marL="1371426" algn="l" defTabSz="457142" rtl="0" eaLnBrk="1" latinLnBrk="0" hangingPunct="1">
                    <a:defRPr sz="1800" kern="1200">
                      <a:solidFill>
                        <a:schemeClr val="dk1"/>
                      </a:solidFill>
                      <a:latin typeface="+mn-lt"/>
                      <a:ea typeface="+mn-ea"/>
                      <a:cs typeface="+mn-cs"/>
                    </a:defRPr>
                  </a:lvl4pPr>
                  <a:lvl5pPr marL="1828567" algn="l" defTabSz="457142" rtl="0" eaLnBrk="1" latinLnBrk="0" hangingPunct="1">
                    <a:defRPr sz="1800" kern="1200">
                      <a:solidFill>
                        <a:schemeClr val="dk1"/>
                      </a:solidFill>
                      <a:latin typeface="+mn-lt"/>
                      <a:ea typeface="+mn-ea"/>
                      <a:cs typeface="+mn-cs"/>
                    </a:defRPr>
                  </a:lvl5pPr>
                  <a:lvl6pPr marL="2285709" algn="l" defTabSz="457142" rtl="0" eaLnBrk="1" latinLnBrk="0" hangingPunct="1">
                    <a:defRPr sz="1800" kern="1200">
                      <a:solidFill>
                        <a:schemeClr val="dk1"/>
                      </a:solidFill>
                      <a:latin typeface="+mn-lt"/>
                      <a:ea typeface="+mn-ea"/>
                      <a:cs typeface="+mn-cs"/>
                    </a:defRPr>
                  </a:lvl6pPr>
                  <a:lvl7pPr marL="2742851" algn="l" defTabSz="457142" rtl="0" eaLnBrk="1" latinLnBrk="0" hangingPunct="1">
                    <a:defRPr sz="1800" kern="1200">
                      <a:solidFill>
                        <a:schemeClr val="dk1"/>
                      </a:solidFill>
                      <a:latin typeface="+mn-lt"/>
                      <a:ea typeface="+mn-ea"/>
                      <a:cs typeface="+mn-cs"/>
                    </a:defRPr>
                  </a:lvl7pPr>
                  <a:lvl8pPr marL="3199994" algn="l" defTabSz="457142" rtl="0" eaLnBrk="1" latinLnBrk="0" hangingPunct="1">
                    <a:defRPr sz="1800" kern="1200">
                      <a:solidFill>
                        <a:schemeClr val="dk1"/>
                      </a:solidFill>
                      <a:latin typeface="+mn-lt"/>
                      <a:ea typeface="+mn-ea"/>
                      <a:cs typeface="+mn-cs"/>
                    </a:defRPr>
                  </a:lvl8pPr>
                  <a:lvl9pPr marL="3657136" algn="l" defTabSz="457142" rtl="0" eaLnBrk="1" latinLnBrk="0" hangingPunct="1">
                    <a:defRPr sz="1800" kern="1200">
                      <a:solidFill>
                        <a:schemeClr val="dk1"/>
                      </a:solidFill>
                      <a:latin typeface="+mn-lt"/>
                      <a:ea typeface="+mn-ea"/>
                      <a:cs typeface="+mn-cs"/>
                    </a:defRPr>
                  </a:lvl9pPr>
                </a:lstStyle>
                <a:p>
                  <a:pPr marL="0" marR="0" lvl="0" indent="0" algn="ctr" defTabSz="457142" rtl="0" eaLnBrk="1" fontAlgn="auto" latinLnBrk="0" hangingPunct="1">
                    <a:lnSpc>
                      <a:spcPct val="100000"/>
                    </a:lnSpc>
                    <a:spcBef>
                      <a:spcPts val="0"/>
                    </a:spcBef>
                    <a:spcAft>
                      <a:spcPts val="0"/>
                    </a:spcAft>
                    <a:buClrTx/>
                    <a:buSzTx/>
                    <a:buFontTx/>
                    <a:buNone/>
                    <a:tabLst/>
                    <a:defRPr/>
                  </a:pPr>
                  <a:r>
                    <a:rPr lang="en-GB" sz="2400" b="1" i="0" kern="1200">
                      <a:solidFill>
                        <a:schemeClr val="accent5">
                          <a:lumMod val="20000"/>
                          <a:lumOff val="80000"/>
                        </a:schemeClr>
                      </a:solidFill>
                      <a:effectLst/>
                      <a:latin typeface="Franklin Gothic Medium" panose="020B0603020102020204" pitchFamily="34" charset="0"/>
                      <a:ea typeface="+mn-ea"/>
                      <a:cs typeface="+mn-cs"/>
                    </a:rPr>
                    <a:t>Employee Name</a:t>
                  </a:r>
                </a:p>
                <a:p>
                  <a:pPr algn="ctr"/>
                  <a:endParaRPr lang="en-GB"/>
                </a:p>
              </xdr:txBody>
            </xdr:sp>
            <xdr:cxnSp macro="">
              <xdr:nvCxnSpPr>
                <xdr:cNvPr id="14" name="Straight Connector 13">
                  <a:extLst>
                    <a:ext uri="{FF2B5EF4-FFF2-40B4-BE49-F238E27FC236}">
                      <a16:creationId xmlns:a16="http://schemas.microsoft.com/office/drawing/2014/main" id="{EB35F1DE-1B1C-3DD1-6F0D-12C3BF31666E}"/>
                    </a:ext>
                  </a:extLst>
                </xdr:cNvPr>
                <xdr:cNvCxnSpPr>
                  <a:cxnSpLocks/>
                </xdr:cNvCxnSpPr>
              </xdr:nvCxnSpPr>
              <xdr:spPr>
                <a:xfrm>
                  <a:off x="0" y="1828800"/>
                  <a:ext cx="12192000" cy="0"/>
                </a:xfrm>
                <a:prstGeom prst="line">
                  <a:avLst/>
                </a:prstGeom>
                <a:gradFill flip="none" rotWithShape="1">
                  <a:gsLst>
                    <a:gs pos="0">
                      <a:srgbClr val="9900CC"/>
                    </a:gs>
                    <a:gs pos="47000">
                      <a:srgbClr val="3E1957"/>
                    </a:gs>
                    <a:gs pos="82000">
                      <a:schemeClr val="tx1">
                        <a:lumMod val="95000"/>
                        <a:lumOff val="5000"/>
                      </a:schemeClr>
                    </a:gs>
                  </a:gsLst>
                  <a:path path="circle">
                    <a:fillToRect l="100000" b="100000"/>
                  </a:path>
                  <a:tileRect t="-100000" r="-100000"/>
                </a:gradFill>
                <a:ln>
                  <a:noFill/>
                </a:ln>
                <a:effectLst>
                  <a:outerShdw blurRad="190500" dist="228600" dir="2700000" algn="ctr">
                    <a:srgbClr val="000000">
                      <a:alpha val="30000"/>
                    </a:srgbClr>
                  </a:outerShdw>
                </a:effectLst>
                <a:sp3d prstMaterial="matte">
                  <a:bevelT w="127000" h="63500" prst="coolSlant"/>
                </a:sp3d>
              </xdr:spPr>
              <xdr:style>
                <a:lnRef idx="2">
                  <a:schemeClr val="accent6"/>
                </a:lnRef>
                <a:fillRef idx="1">
                  <a:schemeClr val="lt1"/>
                </a:fillRef>
                <a:effectRef idx="0">
                  <a:schemeClr val="accent6"/>
                </a:effectRef>
                <a:fontRef idx="minor">
                  <a:schemeClr val="dk1"/>
                </a:fontRef>
              </xdr:style>
            </xdr:cxnSp>
            <xdr:sp macro="" textlink="">
              <xdr:nvSpPr>
                <xdr:cNvPr id="15" name="Rectangle: Rounded Corners 14">
                  <a:extLst>
                    <a:ext uri="{FF2B5EF4-FFF2-40B4-BE49-F238E27FC236}">
                      <a16:creationId xmlns:a16="http://schemas.microsoft.com/office/drawing/2014/main" id="{98B8DB8B-3BF0-4B1B-F773-08BD66B23063}"/>
                    </a:ext>
                  </a:extLst>
                </xdr:cNvPr>
                <xdr:cNvSpPr/>
              </xdr:nvSpPr>
              <xdr:spPr>
                <a:xfrm>
                  <a:off x="0" y="1828800"/>
                  <a:ext cx="4649002" cy="2271559"/>
                </a:xfrm>
                <a:prstGeom prst="roundRect">
                  <a:avLst>
                    <a:gd name="adj" fmla="val 4379"/>
                  </a:avLst>
                </a:prstGeom>
                <a:gradFill flip="none" rotWithShape="1">
                  <a:gsLst>
                    <a:gs pos="0">
                      <a:srgbClr val="9900CC"/>
                    </a:gs>
                    <a:gs pos="12000">
                      <a:srgbClr val="3E1957"/>
                    </a:gs>
                    <a:gs pos="61000">
                      <a:schemeClr val="tx1">
                        <a:lumMod val="95000"/>
                        <a:lumOff val="5000"/>
                      </a:schemeClr>
                    </a:gs>
                  </a:gsLst>
                  <a:path path="circle">
                    <a:fillToRect l="100000" b="100000"/>
                  </a:path>
                  <a:tileRect t="-100000" r="-100000"/>
                </a:gradFill>
                <a:ln>
                  <a:noFill/>
                </a:ln>
                <a:effectLst>
                  <a:outerShdw blurRad="190500" dist="228600" dir="2700000" algn="ctr">
                    <a:srgbClr val="000000">
                      <a:alpha val="30000"/>
                    </a:srgbClr>
                  </a:outerShdw>
                </a:effectLst>
                <a:sp3d prstMaterial="matte">
                  <a:bevelT w="127000" h="63500" prst="coolSlant"/>
                </a:sp3d>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457142" rtl="0" eaLnBrk="1" latinLnBrk="0" hangingPunct="1">
                    <a:defRPr sz="1800" kern="1200">
                      <a:solidFill>
                        <a:schemeClr val="dk1"/>
                      </a:solidFill>
                      <a:latin typeface="+mn-lt"/>
                      <a:ea typeface="+mn-ea"/>
                      <a:cs typeface="+mn-cs"/>
                    </a:defRPr>
                  </a:lvl1pPr>
                  <a:lvl2pPr marL="457142" algn="l" defTabSz="457142" rtl="0" eaLnBrk="1" latinLnBrk="0" hangingPunct="1">
                    <a:defRPr sz="1800" kern="1200">
                      <a:solidFill>
                        <a:schemeClr val="dk1"/>
                      </a:solidFill>
                      <a:latin typeface="+mn-lt"/>
                      <a:ea typeface="+mn-ea"/>
                      <a:cs typeface="+mn-cs"/>
                    </a:defRPr>
                  </a:lvl2pPr>
                  <a:lvl3pPr marL="914284" algn="l" defTabSz="457142" rtl="0" eaLnBrk="1" latinLnBrk="0" hangingPunct="1">
                    <a:defRPr sz="1800" kern="1200">
                      <a:solidFill>
                        <a:schemeClr val="dk1"/>
                      </a:solidFill>
                      <a:latin typeface="+mn-lt"/>
                      <a:ea typeface="+mn-ea"/>
                      <a:cs typeface="+mn-cs"/>
                    </a:defRPr>
                  </a:lvl3pPr>
                  <a:lvl4pPr marL="1371426" algn="l" defTabSz="457142" rtl="0" eaLnBrk="1" latinLnBrk="0" hangingPunct="1">
                    <a:defRPr sz="1800" kern="1200">
                      <a:solidFill>
                        <a:schemeClr val="dk1"/>
                      </a:solidFill>
                      <a:latin typeface="+mn-lt"/>
                      <a:ea typeface="+mn-ea"/>
                      <a:cs typeface="+mn-cs"/>
                    </a:defRPr>
                  </a:lvl4pPr>
                  <a:lvl5pPr marL="1828567" algn="l" defTabSz="457142" rtl="0" eaLnBrk="1" latinLnBrk="0" hangingPunct="1">
                    <a:defRPr sz="1800" kern="1200">
                      <a:solidFill>
                        <a:schemeClr val="dk1"/>
                      </a:solidFill>
                      <a:latin typeface="+mn-lt"/>
                      <a:ea typeface="+mn-ea"/>
                      <a:cs typeface="+mn-cs"/>
                    </a:defRPr>
                  </a:lvl5pPr>
                  <a:lvl6pPr marL="2285709" algn="l" defTabSz="457142" rtl="0" eaLnBrk="1" latinLnBrk="0" hangingPunct="1">
                    <a:defRPr sz="1800" kern="1200">
                      <a:solidFill>
                        <a:schemeClr val="dk1"/>
                      </a:solidFill>
                      <a:latin typeface="+mn-lt"/>
                      <a:ea typeface="+mn-ea"/>
                      <a:cs typeface="+mn-cs"/>
                    </a:defRPr>
                  </a:lvl6pPr>
                  <a:lvl7pPr marL="2742851" algn="l" defTabSz="457142" rtl="0" eaLnBrk="1" latinLnBrk="0" hangingPunct="1">
                    <a:defRPr sz="1800" kern="1200">
                      <a:solidFill>
                        <a:schemeClr val="dk1"/>
                      </a:solidFill>
                      <a:latin typeface="+mn-lt"/>
                      <a:ea typeface="+mn-ea"/>
                      <a:cs typeface="+mn-cs"/>
                    </a:defRPr>
                  </a:lvl7pPr>
                  <a:lvl8pPr marL="3199994" algn="l" defTabSz="457142" rtl="0" eaLnBrk="1" latinLnBrk="0" hangingPunct="1">
                    <a:defRPr sz="1800" kern="1200">
                      <a:solidFill>
                        <a:schemeClr val="dk1"/>
                      </a:solidFill>
                      <a:latin typeface="+mn-lt"/>
                      <a:ea typeface="+mn-ea"/>
                      <a:cs typeface="+mn-cs"/>
                    </a:defRPr>
                  </a:lvl8pPr>
                  <a:lvl9pPr marL="3657136" algn="l" defTabSz="457142" rtl="0" eaLnBrk="1" latinLnBrk="0" hangingPunct="1">
                    <a:defRPr sz="1800" kern="1200">
                      <a:solidFill>
                        <a:schemeClr val="dk1"/>
                      </a:solidFill>
                      <a:latin typeface="+mn-lt"/>
                      <a:ea typeface="+mn-ea"/>
                      <a:cs typeface="+mn-cs"/>
                    </a:defRPr>
                  </a:lvl9pPr>
                </a:lstStyle>
                <a:p>
                  <a:pPr algn="ctr"/>
                  <a:endParaRPr lang="en-GB"/>
                </a:p>
              </xdr:txBody>
            </xdr:sp>
            <xdr:sp macro="" textlink="">
              <xdr:nvSpPr>
                <xdr:cNvPr id="16" name="Rectangle 15">
                  <a:extLst>
                    <a:ext uri="{FF2B5EF4-FFF2-40B4-BE49-F238E27FC236}">
                      <a16:creationId xmlns:a16="http://schemas.microsoft.com/office/drawing/2014/main" id="{9B0F628D-A51D-75AF-D1DE-B6ADCD3CEF2D}"/>
                    </a:ext>
                  </a:extLst>
                </xdr:cNvPr>
                <xdr:cNvSpPr/>
              </xdr:nvSpPr>
              <xdr:spPr>
                <a:xfrm>
                  <a:off x="4681167" y="1828796"/>
                  <a:ext cx="3936733" cy="2271559"/>
                </a:xfrm>
                <a:prstGeom prst="rect">
                  <a:avLst/>
                </a:prstGeom>
                <a:gradFill flip="none" rotWithShape="1">
                  <a:gsLst>
                    <a:gs pos="0">
                      <a:srgbClr val="9900CC"/>
                    </a:gs>
                    <a:gs pos="12000">
                      <a:srgbClr val="3E1957"/>
                    </a:gs>
                    <a:gs pos="61000">
                      <a:schemeClr val="tx1">
                        <a:lumMod val="95000"/>
                        <a:lumOff val="5000"/>
                      </a:schemeClr>
                    </a:gs>
                  </a:gsLst>
                  <a:path path="circle">
                    <a:fillToRect l="100000" b="100000"/>
                  </a:path>
                  <a:tileRect t="-100000" r="-100000"/>
                </a:gradFill>
                <a:ln>
                  <a:noFill/>
                </a:ln>
                <a:effectLst>
                  <a:outerShdw blurRad="190500" dist="228600" dir="2700000" algn="ctr">
                    <a:srgbClr val="000000">
                      <a:alpha val="30000"/>
                    </a:srgbClr>
                  </a:outerShdw>
                </a:effectLst>
                <a:sp3d prstMaterial="matte">
                  <a:bevelT w="127000" h="63500" prst="coolSlant"/>
                </a:sp3d>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457142" rtl="0" eaLnBrk="1" latinLnBrk="0" hangingPunct="1">
                    <a:defRPr sz="1800" kern="1200">
                      <a:solidFill>
                        <a:schemeClr val="dk1"/>
                      </a:solidFill>
                      <a:latin typeface="+mn-lt"/>
                      <a:ea typeface="+mn-ea"/>
                      <a:cs typeface="+mn-cs"/>
                    </a:defRPr>
                  </a:lvl1pPr>
                  <a:lvl2pPr marL="457142" algn="l" defTabSz="457142" rtl="0" eaLnBrk="1" latinLnBrk="0" hangingPunct="1">
                    <a:defRPr sz="1800" kern="1200">
                      <a:solidFill>
                        <a:schemeClr val="dk1"/>
                      </a:solidFill>
                      <a:latin typeface="+mn-lt"/>
                      <a:ea typeface="+mn-ea"/>
                      <a:cs typeface="+mn-cs"/>
                    </a:defRPr>
                  </a:lvl2pPr>
                  <a:lvl3pPr marL="914284" algn="l" defTabSz="457142" rtl="0" eaLnBrk="1" latinLnBrk="0" hangingPunct="1">
                    <a:defRPr sz="1800" kern="1200">
                      <a:solidFill>
                        <a:schemeClr val="dk1"/>
                      </a:solidFill>
                      <a:latin typeface="+mn-lt"/>
                      <a:ea typeface="+mn-ea"/>
                      <a:cs typeface="+mn-cs"/>
                    </a:defRPr>
                  </a:lvl3pPr>
                  <a:lvl4pPr marL="1371426" algn="l" defTabSz="457142" rtl="0" eaLnBrk="1" latinLnBrk="0" hangingPunct="1">
                    <a:defRPr sz="1800" kern="1200">
                      <a:solidFill>
                        <a:schemeClr val="dk1"/>
                      </a:solidFill>
                      <a:latin typeface="+mn-lt"/>
                      <a:ea typeface="+mn-ea"/>
                      <a:cs typeface="+mn-cs"/>
                    </a:defRPr>
                  </a:lvl4pPr>
                  <a:lvl5pPr marL="1828567" algn="l" defTabSz="457142" rtl="0" eaLnBrk="1" latinLnBrk="0" hangingPunct="1">
                    <a:defRPr sz="1800" kern="1200">
                      <a:solidFill>
                        <a:schemeClr val="dk1"/>
                      </a:solidFill>
                      <a:latin typeface="+mn-lt"/>
                      <a:ea typeface="+mn-ea"/>
                      <a:cs typeface="+mn-cs"/>
                    </a:defRPr>
                  </a:lvl5pPr>
                  <a:lvl6pPr marL="2285709" algn="l" defTabSz="457142" rtl="0" eaLnBrk="1" latinLnBrk="0" hangingPunct="1">
                    <a:defRPr sz="1800" kern="1200">
                      <a:solidFill>
                        <a:schemeClr val="dk1"/>
                      </a:solidFill>
                      <a:latin typeface="+mn-lt"/>
                      <a:ea typeface="+mn-ea"/>
                      <a:cs typeface="+mn-cs"/>
                    </a:defRPr>
                  </a:lvl6pPr>
                  <a:lvl7pPr marL="2742851" algn="l" defTabSz="457142" rtl="0" eaLnBrk="1" latinLnBrk="0" hangingPunct="1">
                    <a:defRPr sz="1800" kern="1200">
                      <a:solidFill>
                        <a:schemeClr val="dk1"/>
                      </a:solidFill>
                      <a:latin typeface="+mn-lt"/>
                      <a:ea typeface="+mn-ea"/>
                      <a:cs typeface="+mn-cs"/>
                    </a:defRPr>
                  </a:lvl7pPr>
                  <a:lvl8pPr marL="3199994" algn="l" defTabSz="457142" rtl="0" eaLnBrk="1" latinLnBrk="0" hangingPunct="1">
                    <a:defRPr sz="1800" kern="1200">
                      <a:solidFill>
                        <a:schemeClr val="dk1"/>
                      </a:solidFill>
                      <a:latin typeface="+mn-lt"/>
                      <a:ea typeface="+mn-ea"/>
                      <a:cs typeface="+mn-cs"/>
                    </a:defRPr>
                  </a:lvl8pPr>
                  <a:lvl9pPr marL="3657136" algn="l" defTabSz="457142" rtl="0" eaLnBrk="1" latinLnBrk="0" hangingPunct="1">
                    <a:defRPr sz="1800" kern="1200">
                      <a:solidFill>
                        <a:schemeClr val="dk1"/>
                      </a:solidFill>
                      <a:latin typeface="+mn-lt"/>
                      <a:ea typeface="+mn-ea"/>
                      <a:cs typeface="+mn-cs"/>
                    </a:defRPr>
                  </a:lvl9pPr>
                </a:lstStyle>
                <a:p>
                  <a:pPr algn="ctr"/>
                  <a:endParaRPr lang="en-GB"/>
                </a:p>
              </xdr:txBody>
            </xdr:sp>
            <xdr:sp macro="" textlink="">
              <xdr:nvSpPr>
                <xdr:cNvPr id="17" name="Rectangle 16">
                  <a:extLst>
                    <a:ext uri="{FF2B5EF4-FFF2-40B4-BE49-F238E27FC236}">
                      <a16:creationId xmlns:a16="http://schemas.microsoft.com/office/drawing/2014/main" id="{4A51C4BC-83AC-DEEF-644D-7EA6A8A764ED}"/>
                    </a:ext>
                  </a:extLst>
                </xdr:cNvPr>
                <xdr:cNvSpPr/>
              </xdr:nvSpPr>
              <xdr:spPr>
                <a:xfrm>
                  <a:off x="8758991" y="1828799"/>
                  <a:ext cx="3373744" cy="2271559"/>
                </a:xfrm>
                <a:prstGeom prst="rect">
                  <a:avLst/>
                </a:prstGeom>
                <a:gradFill flip="none" rotWithShape="1">
                  <a:gsLst>
                    <a:gs pos="0">
                      <a:srgbClr val="9900CC"/>
                    </a:gs>
                    <a:gs pos="12000">
                      <a:srgbClr val="3E1957"/>
                    </a:gs>
                    <a:gs pos="61000">
                      <a:schemeClr val="tx1">
                        <a:lumMod val="95000"/>
                        <a:lumOff val="5000"/>
                      </a:schemeClr>
                    </a:gs>
                  </a:gsLst>
                  <a:path path="circle">
                    <a:fillToRect l="100000" b="100000"/>
                  </a:path>
                  <a:tileRect t="-100000" r="-100000"/>
                </a:gradFill>
                <a:ln>
                  <a:noFill/>
                </a:ln>
                <a:effectLst>
                  <a:outerShdw blurRad="190500" dist="228600" dir="2700000" algn="ctr">
                    <a:srgbClr val="000000">
                      <a:alpha val="30000"/>
                    </a:srgbClr>
                  </a:outerShdw>
                </a:effectLst>
                <a:sp3d prstMaterial="matte">
                  <a:bevelT w="127000" h="63500" prst="coolSlant"/>
                </a:sp3d>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457142" rtl="0" eaLnBrk="1" latinLnBrk="0" hangingPunct="1">
                    <a:defRPr sz="1800" kern="1200">
                      <a:solidFill>
                        <a:schemeClr val="dk1"/>
                      </a:solidFill>
                      <a:latin typeface="+mn-lt"/>
                      <a:ea typeface="+mn-ea"/>
                      <a:cs typeface="+mn-cs"/>
                    </a:defRPr>
                  </a:lvl1pPr>
                  <a:lvl2pPr marL="457142" algn="l" defTabSz="457142" rtl="0" eaLnBrk="1" latinLnBrk="0" hangingPunct="1">
                    <a:defRPr sz="1800" kern="1200">
                      <a:solidFill>
                        <a:schemeClr val="dk1"/>
                      </a:solidFill>
                      <a:latin typeface="+mn-lt"/>
                      <a:ea typeface="+mn-ea"/>
                      <a:cs typeface="+mn-cs"/>
                    </a:defRPr>
                  </a:lvl2pPr>
                  <a:lvl3pPr marL="914284" algn="l" defTabSz="457142" rtl="0" eaLnBrk="1" latinLnBrk="0" hangingPunct="1">
                    <a:defRPr sz="1800" kern="1200">
                      <a:solidFill>
                        <a:schemeClr val="dk1"/>
                      </a:solidFill>
                      <a:latin typeface="+mn-lt"/>
                      <a:ea typeface="+mn-ea"/>
                      <a:cs typeface="+mn-cs"/>
                    </a:defRPr>
                  </a:lvl3pPr>
                  <a:lvl4pPr marL="1371426" algn="l" defTabSz="457142" rtl="0" eaLnBrk="1" latinLnBrk="0" hangingPunct="1">
                    <a:defRPr sz="1800" kern="1200">
                      <a:solidFill>
                        <a:schemeClr val="dk1"/>
                      </a:solidFill>
                      <a:latin typeface="+mn-lt"/>
                      <a:ea typeface="+mn-ea"/>
                      <a:cs typeface="+mn-cs"/>
                    </a:defRPr>
                  </a:lvl4pPr>
                  <a:lvl5pPr marL="1828567" algn="l" defTabSz="457142" rtl="0" eaLnBrk="1" latinLnBrk="0" hangingPunct="1">
                    <a:defRPr sz="1800" kern="1200">
                      <a:solidFill>
                        <a:schemeClr val="dk1"/>
                      </a:solidFill>
                      <a:latin typeface="+mn-lt"/>
                      <a:ea typeface="+mn-ea"/>
                      <a:cs typeface="+mn-cs"/>
                    </a:defRPr>
                  </a:lvl5pPr>
                  <a:lvl6pPr marL="2285709" algn="l" defTabSz="457142" rtl="0" eaLnBrk="1" latinLnBrk="0" hangingPunct="1">
                    <a:defRPr sz="1800" kern="1200">
                      <a:solidFill>
                        <a:schemeClr val="dk1"/>
                      </a:solidFill>
                      <a:latin typeface="+mn-lt"/>
                      <a:ea typeface="+mn-ea"/>
                      <a:cs typeface="+mn-cs"/>
                    </a:defRPr>
                  </a:lvl6pPr>
                  <a:lvl7pPr marL="2742851" algn="l" defTabSz="457142" rtl="0" eaLnBrk="1" latinLnBrk="0" hangingPunct="1">
                    <a:defRPr sz="1800" kern="1200">
                      <a:solidFill>
                        <a:schemeClr val="dk1"/>
                      </a:solidFill>
                      <a:latin typeface="+mn-lt"/>
                      <a:ea typeface="+mn-ea"/>
                      <a:cs typeface="+mn-cs"/>
                    </a:defRPr>
                  </a:lvl7pPr>
                  <a:lvl8pPr marL="3199994" algn="l" defTabSz="457142" rtl="0" eaLnBrk="1" latinLnBrk="0" hangingPunct="1">
                    <a:defRPr sz="1800" kern="1200">
                      <a:solidFill>
                        <a:schemeClr val="dk1"/>
                      </a:solidFill>
                      <a:latin typeface="+mn-lt"/>
                      <a:ea typeface="+mn-ea"/>
                      <a:cs typeface="+mn-cs"/>
                    </a:defRPr>
                  </a:lvl8pPr>
                  <a:lvl9pPr marL="3657136" algn="l" defTabSz="457142" rtl="0" eaLnBrk="1" latinLnBrk="0" hangingPunct="1">
                    <a:defRPr sz="1800" kern="1200">
                      <a:solidFill>
                        <a:schemeClr val="dk1"/>
                      </a:solidFill>
                      <a:latin typeface="+mn-lt"/>
                      <a:ea typeface="+mn-ea"/>
                      <a:cs typeface="+mn-cs"/>
                    </a:defRPr>
                  </a:lvl9pPr>
                </a:lstStyle>
                <a:p>
                  <a:pPr algn="ctr"/>
                  <a:endParaRPr lang="en-GB"/>
                </a:p>
              </xdr:txBody>
            </xdr:sp>
            <xdr:sp macro="" textlink="">
              <xdr:nvSpPr>
                <xdr:cNvPr id="18" name="Rectangle: Rounded Corners 17">
                  <a:extLst>
                    <a:ext uri="{FF2B5EF4-FFF2-40B4-BE49-F238E27FC236}">
                      <a16:creationId xmlns:a16="http://schemas.microsoft.com/office/drawing/2014/main" id="{C0E5F2DE-43DA-8DFD-B490-E90367F65047}"/>
                    </a:ext>
                  </a:extLst>
                </xdr:cNvPr>
                <xdr:cNvSpPr/>
              </xdr:nvSpPr>
              <xdr:spPr>
                <a:xfrm>
                  <a:off x="7542998" y="4223633"/>
                  <a:ext cx="4649002" cy="2549697"/>
                </a:xfrm>
                <a:prstGeom prst="roundRect">
                  <a:avLst>
                    <a:gd name="adj" fmla="val 0"/>
                  </a:avLst>
                </a:prstGeom>
                <a:gradFill flip="none" rotWithShape="1">
                  <a:gsLst>
                    <a:gs pos="0">
                      <a:srgbClr val="9900CC"/>
                    </a:gs>
                    <a:gs pos="12000">
                      <a:srgbClr val="3E1957"/>
                    </a:gs>
                    <a:gs pos="61000">
                      <a:schemeClr val="tx1">
                        <a:lumMod val="95000"/>
                        <a:lumOff val="5000"/>
                      </a:schemeClr>
                    </a:gs>
                  </a:gsLst>
                  <a:path path="circle">
                    <a:fillToRect l="100000" b="100000"/>
                  </a:path>
                  <a:tileRect t="-100000" r="-100000"/>
                </a:gradFill>
                <a:ln>
                  <a:noFill/>
                </a:ln>
                <a:effectLst>
                  <a:outerShdw blurRad="190500" dist="228600" dir="2700000" algn="ctr">
                    <a:srgbClr val="000000">
                      <a:alpha val="30000"/>
                    </a:srgbClr>
                  </a:outerShdw>
                </a:effectLst>
                <a:sp3d prstMaterial="matte">
                  <a:bevelT w="127000" h="63500" prst="coolSlant"/>
                </a:sp3d>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457142" rtl="0" eaLnBrk="1" latinLnBrk="0" hangingPunct="1">
                    <a:defRPr sz="1800" kern="1200">
                      <a:solidFill>
                        <a:schemeClr val="dk1"/>
                      </a:solidFill>
                      <a:latin typeface="+mn-lt"/>
                      <a:ea typeface="+mn-ea"/>
                      <a:cs typeface="+mn-cs"/>
                    </a:defRPr>
                  </a:lvl1pPr>
                  <a:lvl2pPr marL="457142" algn="l" defTabSz="457142" rtl="0" eaLnBrk="1" latinLnBrk="0" hangingPunct="1">
                    <a:defRPr sz="1800" kern="1200">
                      <a:solidFill>
                        <a:schemeClr val="dk1"/>
                      </a:solidFill>
                      <a:latin typeface="+mn-lt"/>
                      <a:ea typeface="+mn-ea"/>
                      <a:cs typeface="+mn-cs"/>
                    </a:defRPr>
                  </a:lvl2pPr>
                  <a:lvl3pPr marL="914284" algn="l" defTabSz="457142" rtl="0" eaLnBrk="1" latinLnBrk="0" hangingPunct="1">
                    <a:defRPr sz="1800" kern="1200">
                      <a:solidFill>
                        <a:schemeClr val="dk1"/>
                      </a:solidFill>
                      <a:latin typeface="+mn-lt"/>
                      <a:ea typeface="+mn-ea"/>
                      <a:cs typeface="+mn-cs"/>
                    </a:defRPr>
                  </a:lvl3pPr>
                  <a:lvl4pPr marL="1371426" algn="l" defTabSz="457142" rtl="0" eaLnBrk="1" latinLnBrk="0" hangingPunct="1">
                    <a:defRPr sz="1800" kern="1200">
                      <a:solidFill>
                        <a:schemeClr val="dk1"/>
                      </a:solidFill>
                      <a:latin typeface="+mn-lt"/>
                      <a:ea typeface="+mn-ea"/>
                      <a:cs typeface="+mn-cs"/>
                    </a:defRPr>
                  </a:lvl4pPr>
                  <a:lvl5pPr marL="1828567" algn="l" defTabSz="457142" rtl="0" eaLnBrk="1" latinLnBrk="0" hangingPunct="1">
                    <a:defRPr sz="1800" kern="1200">
                      <a:solidFill>
                        <a:schemeClr val="dk1"/>
                      </a:solidFill>
                      <a:latin typeface="+mn-lt"/>
                      <a:ea typeface="+mn-ea"/>
                      <a:cs typeface="+mn-cs"/>
                    </a:defRPr>
                  </a:lvl5pPr>
                  <a:lvl6pPr marL="2285709" algn="l" defTabSz="457142" rtl="0" eaLnBrk="1" latinLnBrk="0" hangingPunct="1">
                    <a:defRPr sz="1800" kern="1200">
                      <a:solidFill>
                        <a:schemeClr val="dk1"/>
                      </a:solidFill>
                      <a:latin typeface="+mn-lt"/>
                      <a:ea typeface="+mn-ea"/>
                      <a:cs typeface="+mn-cs"/>
                    </a:defRPr>
                  </a:lvl6pPr>
                  <a:lvl7pPr marL="2742851" algn="l" defTabSz="457142" rtl="0" eaLnBrk="1" latinLnBrk="0" hangingPunct="1">
                    <a:defRPr sz="1800" kern="1200">
                      <a:solidFill>
                        <a:schemeClr val="dk1"/>
                      </a:solidFill>
                      <a:latin typeface="+mn-lt"/>
                      <a:ea typeface="+mn-ea"/>
                      <a:cs typeface="+mn-cs"/>
                    </a:defRPr>
                  </a:lvl7pPr>
                  <a:lvl8pPr marL="3199994" algn="l" defTabSz="457142" rtl="0" eaLnBrk="1" latinLnBrk="0" hangingPunct="1">
                    <a:defRPr sz="1800" kern="1200">
                      <a:solidFill>
                        <a:schemeClr val="dk1"/>
                      </a:solidFill>
                      <a:latin typeface="+mn-lt"/>
                      <a:ea typeface="+mn-ea"/>
                      <a:cs typeface="+mn-cs"/>
                    </a:defRPr>
                  </a:lvl8pPr>
                  <a:lvl9pPr marL="3657136" algn="l" defTabSz="457142" rtl="0" eaLnBrk="1" latinLnBrk="0" hangingPunct="1">
                    <a:defRPr sz="1800" kern="1200">
                      <a:solidFill>
                        <a:schemeClr val="dk1"/>
                      </a:solidFill>
                      <a:latin typeface="+mn-lt"/>
                      <a:ea typeface="+mn-ea"/>
                      <a:cs typeface="+mn-cs"/>
                    </a:defRPr>
                  </a:lvl9pPr>
                </a:lstStyle>
                <a:p>
                  <a:pPr algn="ctr"/>
                  <a:endParaRPr lang="en-GB"/>
                </a:p>
              </xdr:txBody>
            </xdr:sp>
            <xdr:sp macro="" textlink="">
              <xdr:nvSpPr>
                <xdr:cNvPr id="19" name="Rectangle 18">
                  <a:extLst>
                    <a:ext uri="{FF2B5EF4-FFF2-40B4-BE49-F238E27FC236}">
                      <a16:creationId xmlns:a16="http://schemas.microsoft.com/office/drawing/2014/main" id="{35C98190-190D-2EC0-FF0A-AED4224F9281}"/>
                    </a:ext>
                  </a:extLst>
                </xdr:cNvPr>
                <xdr:cNvSpPr/>
              </xdr:nvSpPr>
              <xdr:spPr>
                <a:xfrm>
                  <a:off x="4079917" y="4223631"/>
                  <a:ext cx="3373744" cy="2549701"/>
                </a:xfrm>
                <a:prstGeom prst="rect">
                  <a:avLst/>
                </a:prstGeom>
                <a:gradFill flip="none" rotWithShape="1">
                  <a:gsLst>
                    <a:gs pos="0">
                      <a:srgbClr val="9900CC"/>
                    </a:gs>
                    <a:gs pos="12000">
                      <a:srgbClr val="3E1957"/>
                    </a:gs>
                    <a:gs pos="61000">
                      <a:schemeClr val="tx1">
                        <a:lumMod val="95000"/>
                        <a:lumOff val="5000"/>
                      </a:schemeClr>
                    </a:gs>
                  </a:gsLst>
                  <a:path path="circle">
                    <a:fillToRect l="100000" b="100000"/>
                  </a:path>
                  <a:tileRect t="-100000" r="-100000"/>
                </a:gradFill>
                <a:ln>
                  <a:noFill/>
                </a:ln>
                <a:effectLst>
                  <a:outerShdw blurRad="190500" dist="228600" dir="2700000" algn="ctr">
                    <a:srgbClr val="000000">
                      <a:alpha val="30000"/>
                    </a:srgbClr>
                  </a:outerShdw>
                </a:effectLst>
                <a:sp3d prstMaterial="matte">
                  <a:bevelT w="127000" h="63500" prst="coolSlant"/>
                </a:sp3d>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457142" rtl="0" eaLnBrk="1" latinLnBrk="0" hangingPunct="1">
                    <a:defRPr sz="1800" kern="1200">
                      <a:solidFill>
                        <a:schemeClr val="dk1"/>
                      </a:solidFill>
                      <a:latin typeface="+mn-lt"/>
                      <a:ea typeface="+mn-ea"/>
                      <a:cs typeface="+mn-cs"/>
                    </a:defRPr>
                  </a:lvl1pPr>
                  <a:lvl2pPr marL="457142" algn="l" defTabSz="457142" rtl="0" eaLnBrk="1" latinLnBrk="0" hangingPunct="1">
                    <a:defRPr sz="1800" kern="1200">
                      <a:solidFill>
                        <a:schemeClr val="dk1"/>
                      </a:solidFill>
                      <a:latin typeface="+mn-lt"/>
                      <a:ea typeface="+mn-ea"/>
                      <a:cs typeface="+mn-cs"/>
                    </a:defRPr>
                  </a:lvl2pPr>
                  <a:lvl3pPr marL="914284" algn="l" defTabSz="457142" rtl="0" eaLnBrk="1" latinLnBrk="0" hangingPunct="1">
                    <a:defRPr sz="1800" kern="1200">
                      <a:solidFill>
                        <a:schemeClr val="dk1"/>
                      </a:solidFill>
                      <a:latin typeface="+mn-lt"/>
                      <a:ea typeface="+mn-ea"/>
                      <a:cs typeface="+mn-cs"/>
                    </a:defRPr>
                  </a:lvl3pPr>
                  <a:lvl4pPr marL="1371426" algn="l" defTabSz="457142" rtl="0" eaLnBrk="1" latinLnBrk="0" hangingPunct="1">
                    <a:defRPr sz="1800" kern="1200">
                      <a:solidFill>
                        <a:schemeClr val="dk1"/>
                      </a:solidFill>
                      <a:latin typeface="+mn-lt"/>
                      <a:ea typeface="+mn-ea"/>
                      <a:cs typeface="+mn-cs"/>
                    </a:defRPr>
                  </a:lvl4pPr>
                  <a:lvl5pPr marL="1828567" algn="l" defTabSz="457142" rtl="0" eaLnBrk="1" latinLnBrk="0" hangingPunct="1">
                    <a:defRPr sz="1800" kern="1200">
                      <a:solidFill>
                        <a:schemeClr val="dk1"/>
                      </a:solidFill>
                      <a:latin typeface="+mn-lt"/>
                      <a:ea typeface="+mn-ea"/>
                      <a:cs typeface="+mn-cs"/>
                    </a:defRPr>
                  </a:lvl5pPr>
                  <a:lvl6pPr marL="2285709" algn="l" defTabSz="457142" rtl="0" eaLnBrk="1" latinLnBrk="0" hangingPunct="1">
                    <a:defRPr sz="1800" kern="1200">
                      <a:solidFill>
                        <a:schemeClr val="dk1"/>
                      </a:solidFill>
                      <a:latin typeface="+mn-lt"/>
                      <a:ea typeface="+mn-ea"/>
                      <a:cs typeface="+mn-cs"/>
                    </a:defRPr>
                  </a:lvl6pPr>
                  <a:lvl7pPr marL="2742851" algn="l" defTabSz="457142" rtl="0" eaLnBrk="1" latinLnBrk="0" hangingPunct="1">
                    <a:defRPr sz="1800" kern="1200">
                      <a:solidFill>
                        <a:schemeClr val="dk1"/>
                      </a:solidFill>
                      <a:latin typeface="+mn-lt"/>
                      <a:ea typeface="+mn-ea"/>
                      <a:cs typeface="+mn-cs"/>
                    </a:defRPr>
                  </a:lvl7pPr>
                  <a:lvl8pPr marL="3199994" algn="l" defTabSz="457142" rtl="0" eaLnBrk="1" latinLnBrk="0" hangingPunct="1">
                    <a:defRPr sz="1800" kern="1200">
                      <a:solidFill>
                        <a:schemeClr val="dk1"/>
                      </a:solidFill>
                      <a:latin typeface="+mn-lt"/>
                      <a:ea typeface="+mn-ea"/>
                      <a:cs typeface="+mn-cs"/>
                    </a:defRPr>
                  </a:lvl8pPr>
                  <a:lvl9pPr marL="3657136" algn="l" defTabSz="457142" rtl="0" eaLnBrk="1" latinLnBrk="0" hangingPunct="1">
                    <a:defRPr sz="1800" kern="1200">
                      <a:solidFill>
                        <a:schemeClr val="dk1"/>
                      </a:solidFill>
                      <a:latin typeface="+mn-lt"/>
                      <a:ea typeface="+mn-ea"/>
                      <a:cs typeface="+mn-cs"/>
                    </a:defRPr>
                  </a:lvl9pPr>
                </a:lstStyle>
                <a:p>
                  <a:pPr algn="ctr"/>
                  <a:endParaRPr lang="en-GB"/>
                </a:p>
              </xdr:txBody>
            </xdr:sp>
            <xdr:sp macro="" textlink="">
              <xdr:nvSpPr>
                <xdr:cNvPr id="20" name="Flowchart: Display 19">
                  <a:extLst>
                    <a:ext uri="{FF2B5EF4-FFF2-40B4-BE49-F238E27FC236}">
                      <a16:creationId xmlns:a16="http://schemas.microsoft.com/office/drawing/2014/main" id="{CBDA6EFA-BF75-9148-4D21-BF4D552B5F03}"/>
                    </a:ext>
                  </a:extLst>
                </xdr:cNvPr>
                <xdr:cNvSpPr/>
              </xdr:nvSpPr>
              <xdr:spPr>
                <a:xfrm rot="16200000">
                  <a:off x="1510598" y="4488668"/>
                  <a:ext cx="2757643" cy="2187180"/>
                </a:xfrm>
                <a:prstGeom prst="flowChartDisplay">
                  <a:avLst/>
                </a:prstGeom>
                <a:gradFill flip="none" rotWithShape="1">
                  <a:gsLst>
                    <a:gs pos="0">
                      <a:srgbClr val="9900CC"/>
                    </a:gs>
                    <a:gs pos="12000">
                      <a:srgbClr val="3E1957"/>
                    </a:gs>
                    <a:gs pos="61000">
                      <a:schemeClr val="tx1">
                        <a:lumMod val="95000"/>
                        <a:lumOff val="5000"/>
                      </a:schemeClr>
                    </a:gs>
                  </a:gsLst>
                  <a:path path="circle">
                    <a:fillToRect l="100000" b="100000"/>
                  </a:path>
                  <a:tileRect t="-100000" r="-100000"/>
                </a:gradFill>
                <a:ln>
                  <a:noFill/>
                </a:ln>
                <a:effectLst>
                  <a:outerShdw blurRad="190500" dist="228600" dir="2700000" algn="ctr">
                    <a:srgbClr val="000000">
                      <a:alpha val="30000"/>
                    </a:srgbClr>
                  </a:outerShdw>
                </a:effectLst>
                <a:sp3d prstMaterial="matte">
                  <a:bevelT w="127000" h="63500" prst="coolSlant"/>
                </a:sp3d>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457142" rtl="0" eaLnBrk="1" latinLnBrk="0" hangingPunct="1">
                    <a:defRPr sz="1800" kern="1200">
                      <a:solidFill>
                        <a:schemeClr val="dk1"/>
                      </a:solidFill>
                      <a:latin typeface="+mn-lt"/>
                      <a:ea typeface="+mn-ea"/>
                      <a:cs typeface="+mn-cs"/>
                    </a:defRPr>
                  </a:lvl1pPr>
                  <a:lvl2pPr marL="457142" algn="l" defTabSz="457142" rtl="0" eaLnBrk="1" latinLnBrk="0" hangingPunct="1">
                    <a:defRPr sz="1800" kern="1200">
                      <a:solidFill>
                        <a:schemeClr val="dk1"/>
                      </a:solidFill>
                      <a:latin typeface="+mn-lt"/>
                      <a:ea typeface="+mn-ea"/>
                      <a:cs typeface="+mn-cs"/>
                    </a:defRPr>
                  </a:lvl2pPr>
                  <a:lvl3pPr marL="914284" algn="l" defTabSz="457142" rtl="0" eaLnBrk="1" latinLnBrk="0" hangingPunct="1">
                    <a:defRPr sz="1800" kern="1200">
                      <a:solidFill>
                        <a:schemeClr val="dk1"/>
                      </a:solidFill>
                      <a:latin typeface="+mn-lt"/>
                      <a:ea typeface="+mn-ea"/>
                      <a:cs typeface="+mn-cs"/>
                    </a:defRPr>
                  </a:lvl3pPr>
                  <a:lvl4pPr marL="1371426" algn="l" defTabSz="457142" rtl="0" eaLnBrk="1" latinLnBrk="0" hangingPunct="1">
                    <a:defRPr sz="1800" kern="1200">
                      <a:solidFill>
                        <a:schemeClr val="dk1"/>
                      </a:solidFill>
                      <a:latin typeface="+mn-lt"/>
                      <a:ea typeface="+mn-ea"/>
                      <a:cs typeface="+mn-cs"/>
                    </a:defRPr>
                  </a:lvl4pPr>
                  <a:lvl5pPr marL="1828567" algn="l" defTabSz="457142" rtl="0" eaLnBrk="1" latinLnBrk="0" hangingPunct="1">
                    <a:defRPr sz="1800" kern="1200">
                      <a:solidFill>
                        <a:schemeClr val="dk1"/>
                      </a:solidFill>
                      <a:latin typeface="+mn-lt"/>
                      <a:ea typeface="+mn-ea"/>
                      <a:cs typeface="+mn-cs"/>
                    </a:defRPr>
                  </a:lvl5pPr>
                  <a:lvl6pPr marL="2285709" algn="l" defTabSz="457142" rtl="0" eaLnBrk="1" latinLnBrk="0" hangingPunct="1">
                    <a:defRPr sz="1800" kern="1200">
                      <a:solidFill>
                        <a:schemeClr val="dk1"/>
                      </a:solidFill>
                      <a:latin typeface="+mn-lt"/>
                      <a:ea typeface="+mn-ea"/>
                      <a:cs typeface="+mn-cs"/>
                    </a:defRPr>
                  </a:lvl6pPr>
                  <a:lvl7pPr marL="2742851" algn="l" defTabSz="457142" rtl="0" eaLnBrk="1" latinLnBrk="0" hangingPunct="1">
                    <a:defRPr sz="1800" kern="1200">
                      <a:solidFill>
                        <a:schemeClr val="dk1"/>
                      </a:solidFill>
                      <a:latin typeface="+mn-lt"/>
                      <a:ea typeface="+mn-ea"/>
                      <a:cs typeface="+mn-cs"/>
                    </a:defRPr>
                  </a:lvl7pPr>
                  <a:lvl8pPr marL="3199994" algn="l" defTabSz="457142" rtl="0" eaLnBrk="1" latinLnBrk="0" hangingPunct="1">
                    <a:defRPr sz="1800" kern="1200">
                      <a:solidFill>
                        <a:schemeClr val="dk1"/>
                      </a:solidFill>
                      <a:latin typeface="+mn-lt"/>
                      <a:ea typeface="+mn-ea"/>
                      <a:cs typeface="+mn-cs"/>
                    </a:defRPr>
                  </a:lvl8pPr>
                  <a:lvl9pPr marL="3657136" algn="l" defTabSz="457142" rtl="0" eaLnBrk="1" latinLnBrk="0" hangingPunct="1">
                    <a:defRPr sz="1800" kern="1200">
                      <a:solidFill>
                        <a:schemeClr val="dk1"/>
                      </a:solidFill>
                      <a:latin typeface="+mn-lt"/>
                      <a:ea typeface="+mn-ea"/>
                      <a:cs typeface="+mn-cs"/>
                    </a:defRPr>
                  </a:lvl9pPr>
                </a:lstStyle>
                <a:p>
                  <a:pPr algn="ctr"/>
                  <a:endParaRPr lang="en-GB"/>
                </a:p>
              </xdr:txBody>
            </xdr:sp>
            <xdr:sp macro="" textlink="">
              <xdr:nvSpPr>
                <xdr:cNvPr id="21" name="Rectangle: Rounded Corners 20">
                  <a:extLst>
                    <a:ext uri="{FF2B5EF4-FFF2-40B4-BE49-F238E27FC236}">
                      <a16:creationId xmlns:a16="http://schemas.microsoft.com/office/drawing/2014/main" id="{782C4E3E-09F2-C21B-5B59-C610C9308E1B}"/>
                    </a:ext>
                  </a:extLst>
                </xdr:cNvPr>
                <xdr:cNvSpPr/>
              </xdr:nvSpPr>
              <xdr:spPr>
                <a:xfrm>
                  <a:off x="18976" y="891846"/>
                  <a:ext cx="1891115" cy="770466"/>
                </a:xfrm>
                <a:prstGeom prst="roundRect">
                  <a:avLst/>
                </a:prstGeom>
                <a:gradFill flip="none" rotWithShape="1">
                  <a:gsLst>
                    <a:gs pos="13000">
                      <a:srgbClr val="9900CC"/>
                    </a:gs>
                    <a:gs pos="40000">
                      <a:srgbClr val="3E1957"/>
                    </a:gs>
                    <a:gs pos="78000">
                      <a:schemeClr val="tx1">
                        <a:lumMod val="95000"/>
                        <a:lumOff val="5000"/>
                      </a:schemeClr>
                    </a:gs>
                  </a:gsLst>
                  <a:path path="circle">
                    <a:fillToRect l="100000" b="100000"/>
                  </a:path>
                  <a:tileRect t="-100000" r="-100000"/>
                </a:gradFill>
                <a:ln>
                  <a:noFill/>
                </a:ln>
                <a:effectLst>
                  <a:outerShdw blurRad="190500" dist="228600" dir="2700000" algn="ctr">
                    <a:srgbClr val="000000">
                      <a:alpha val="30000"/>
                    </a:srgbClr>
                  </a:outerShdw>
                </a:effectLst>
                <a:sp3d prstMaterial="matte">
                  <a:bevelT w="127000" h="63500" prst="coolSlant"/>
                </a:sp3d>
              </xdr:spPr>
              <xdr:style>
                <a:lnRef idx="2">
                  <a:schemeClr val="accent6"/>
                </a:lnRef>
                <a:fillRef idx="1">
                  <a:schemeClr val="lt1"/>
                </a:fillRef>
                <a:effectRef idx="0">
                  <a:schemeClr val="accent6"/>
                </a:effectRef>
                <a:fontRef idx="minor">
                  <a:schemeClr val="dk1"/>
                </a:fontRef>
              </xdr:style>
              <xdr:txBody>
                <a:bodyPr wrap="square" rtlCol="0" anchor="t"/>
                <a:lstStyle>
                  <a:defPPr>
                    <a:defRPr lang="en-US"/>
                  </a:defPPr>
                  <a:lvl1pPr marL="0" algn="l" defTabSz="457142" rtl="0" eaLnBrk="1" latinLnBrk="0" hangingPunct="1">
                    <a:defRPr sz="1800" kern="1200">
                      <a:solidFill>
                        <a:schemeClr val="dk1"/>
                      </a:solidFill>
                      <a:latin typeface="+mn-lt"/>
                      <a:ea typeface="+mn-ea"/>
                      <a:cs typeface="+mn-cs"/>
                    </a:defRPr>
                  </a:lvl1pPr>
                  <a:lvl2pPr marL="457142" algn="l" defTabSz="457142" rtl="0" eaLnBrk="1" latinLnBrk="0" hangingPunct="1">
                    <a:defRPr sz="1800" kern="1200">
                      <a:solidFill>
                        <a:schemeClr val="dk1"/>
                      </a:solidFill>
                      <a:latin typeface="+mn-lt"/>
                      <a:ea typeface="+mn-ea"/>
                      <a:cs typeface="+mn-cs"/>
                    </a:defRPr>
                  </a:lvl2pPr>
                  <a:lvl3pPr marL="914284" algn="l" defTabSz="457142" rtl="0" eaLnBrk="1" latinLnBrk="0" hangingPunct="1">
                    <a:defRPr sz="1800" kern="1200">
                      <a:solidFill>
                        <a:schemeClr val="dk1"/>
                      </a:solidFill>
                      <a:latin typeface="+mn-lt"/>
                      <a:ea typeface="+mn-ea"/>
                      <a:cs typeface="+mn-cs"/>
                    </a:defRPr>
                  </a:lvl3pPr>
                  <a:lvl4pPr marL="1371426" algn="l" defTabSz="457142" rtl="0" eaLnBrk="1" latinLnBrk="0" hangingPunct="1">
                    <a:defRPr sz="1800" kern="1200">
                      <a:solidFill>
                        <a:schemeClr val="dk1"/>
                      </a:solidFill>
                      <a:latin typeface="+mn-lt"/>
                      <a:ea typeface="+mn-ea"/>
                      <a:cs typeface="+mn-cs"/>
                    </a:defRPr>
                  </a:lvl4pPr>
                  <a:lvl5pPr marL="1828567" algn="l" defTabSz="457142" rtl="0" eaLnBrk="1" latinLnBrk="0" hangingPunct="1">
                    <a:defRPr sz="1800" kern="1200">
                      <a:solidFill>
                        <a:schemeClr val="dk1"/>
                      </a:solidFill>
                      <a:latin typeface="+mn-lt"/>
                      <a:ea typeface="+mn-ea"/>
                      <a:cs typeface="+mn-cs"/>
                    </a:defRPr>
                  </a:lvl5pPr>
                  <a:lvl6pPr marL="2285709" algn="l" defTabSz="457142" rtl="0" eaLnBrk="1" latinLnBrk="0" hangingPunct="1">
                    <a:defRPr sz="1800" kern="1200">
                      <a:solidFill>
                        <a:schemeClr val="dk1"/>
                      </a:solidFill>
                      <a:latin typeface="+mn-lt"/>
                      <a:ea typeface="+mn-ea"/>
                      <a:cs typeface="+mn-cs"/>
                    </a:defRPr>
                  </a:lvl6pPr>
                  <a:lvl7pPr marL="2742851" algn="l" defTabSz="457142" rtl="0" eaLnBrk="1" latinLnBrk="0" hangingPunct="1">
                    <a:defRPr sz="1800" kern="1200">
                      <a:solidFill>
                        <a:schemeClr val="dk1"/>
                      </a:solidFill>
                      <a:latin typeface="+mn-lt"/>
                      <a:ea typeface="+mn-ea"/>
                      <a:cs typeface="+mn-cs"/>
                    </a:defRPr>
                  </a:lvl7pPr>
                  <a:lvl8pPr marL="3199994" algn="l" defTabSz="457142" rtl="0" eaLnBrk="1" latinLnBrk="0" hangingPunct="1">
                    <a:defRPr sz="1800" kern="1200">
                      <a:solidFill>
                        <a:schemeClr val="dk1"/>
                      </a:solidFill>
                      <a:latin typeface="+mn-lt"/>
                      <a:ea typeface="+mn-ea"/>
                      <a:cs typeface="+mn-cs"/>
                    </a:defRPr>
                  </a:lvl8pPr>
                  <a:lvl9pPr marL="3657136" algn="l" defTabSz="457142" rtl="0" eaLnBrk="1" latinLnBrk="0" hangingPunct="1">
                    <a:defRPr sz="1800" kern="1200">
                      <a:solidFill>
                        <a:schemeClr val="dk1"/>
                      </a:solidFill>
                      <a:latin typeface="+mn-lt"/>
                      <a:ea typeface="+mn-ea"/>
                      <a:cs typeface="+mn-cs"/>
                    </a:defRPr>
                  </a:lvl9pPr>
                </a:lstStyle>
                <a:p>
                  <a:pPr algn="ctr" fontAlgn="t"/>
                  <a:r>
                    <a:rPr lang="en-GB" sz="2400" b="1" i="0" kern="1200">
                      <a:solidFill>
                        <a:schemeClr val="accent5">
                          <a:lumMod val="20000"/>
                          <a:lumOff val="80000"/>
                        </a:schemeClr>
                      </a:solidFill>
                      <a:effectLst/>
                      <a:latin typeface="Franklin Gothic Medium Cond" panose="020B0606030402020204" pitchFamily="34" charset="0"/>
                      <a:ea typeface="+mn-ea"/>
                      <a:cs typeface="+mn-cs"/>
                    </a:rPr>
                    <a:t>Overtime Hours</a:t>
                  </a:r>
                </a:p>
              </xdr:txBody>
            </xdr:sp>
          </xdr:grpSp>
        </xdr:grpSp>
        <xdr:pic>
          <xdr:nvPicPr>
            <xdr:cNvPr id="23" name="Graphic 22" descr="Books on shelf with solid fill">
              <a:extLst>
                <a:ext uri="{FF2B5EF4-FFF2-40B4-BE49-F238E27FC236}">
                  <a16:creationId xmlns:a16="http://schemas.microsoft.com/office/drawing/2014/main" id="{B129B116-277A-D330-CD89-AEEF45CDD5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88545" y="80818"/>
              <a:ext cx="1096818" cy="914400"/>
            </a:xfrm>
            <a:prstGeom prst="rect">
              <a:avLst/>
            </a:prstGeom>
          </xdr:spPr>
        </xdr:pic>
        <xdr:pic>
          <xdr:nvPicPr>
            <xdr:cNvPr id="27" name="Graphic 26" descr="Daily calendar with solid fill">
              <a:extLst>
                <a:ext uri="{FF2B5EF4-FFF2-40B4-BE49-F238E27FC236}">
                  <a16:creationId xmlns:a16="http://schemas.microsoft.com/office/drawing/2014/main" id="{5543797E-66C5-7734-D479-710CCED50F9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934364" y="1166090"/>
              <a:ext cx="741218" cy="914400"/>
            </a:xfrm>
            <a:prstGeom prst="rect">
              <a:avLst/>
            </a:prstGeom>
          </xdr:spPr>
        </xdr:pic>
        <xdr:pic>
          <xdr:nvPicPr>
            <xdr:cNvPr id="29" name="Graphic 28" descr="Money with solid fill">
              <a:extLst>
                <a:ext uri="{FF2B5EF4-FFF2-40B4-BE49-F238E27FC236}">
                  <a16:creationId xmlns:a16="http://schemas.microsoft.com/office/drawing/2014/main" id="{2923C9AF-579E-9411-BDA3-13246B5BA4A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855363" y="1339273"/>
              <a:ext cx="842818" cy="787399"/>
            </a:xfrm>
            <a:prstGeom prst="rect">
              <a:avLst/>
            </a:prstGeom>
          </xdr:spPr>
        </xdr:pic>
        <xdr:pic>
          <xdr:nvPicPr>
            <xdr:cNvPr id="31" name="Graphic 30" descr="Coins with solid fill">
              <a:extLst>
                <a:ext uri="{FF2B5EF4-FFF2-40B4-BE49-F238E27FC236}">
                  <a16:creationId xmlns:a16="http://schemas.microsoft.com/office/drawing/2014/main" id="{FCAEECCF-159E-7EF0-0B32-4574931ECA7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018818" y="1431636"/>
              <a:ext cx="795131" cy="692728"/>
            </a:xfrm>
            <a:prstGeom prst="rect">
              <a:avLst/>
            </a:prstGeom>
          </xdr:spPr>
        </xdr:pic>
        <xdr:pic>
          <xdr:nvPicPr>
            <xdr:cNvPr id="33" name="Graphic 32" descr="Medicine with solid fill">
              <a:extLst>
                <a:ext uri="{FF2B5EF4-FFF2-40B4-BE49-F238E27FC236}">
                  <a16:creationId xmlns:a16="http://schemas.microsoft.com/office/drawing/2014/main" id="{372B8EA8-C986-6137-2F9D-CDFF4DCA942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5136092" y="1477818"/>
              <a:ext cx="961697" cy="611908"/>
            </a:xfrm>
            <a:prstGeom prst="rect">
              <a:avLst/>
            </a:prstGeom>
          </xdr:spPr>
        </xdr:pic>
        <xdr:pic>
          <xdr:nvPicPr>
            <xdr:cNvPr id="35" name="Graphic 34" descr="Upward trend with solid fill">
              <a:extLst>
                <a:ext uri="{FF2B5EF4-FFF2-40B4-BE49-F238E27FC236}">
                  <a16:creationId xmlns:a16="http://schemas.microsoft.com/office/drawing/2014/main" id="{A13F5515-AF00-C884-3A54-CBB0B267C3B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8195637" y="1454726"/>
              <a:ext cx="923636" cy="658593"/>
            </a:xfrm>
            <a:prstGeom prst="rect">
              <a:avLst/>
            </a:prstGeom>
          </xdr:spPr>
        </xdr:pic>
        <xdr:sp macro="" textlink="Analysis!N721">
          <xdr:nvSpPr>
            <xdr:cNvPr id="36" name="TextBox 35">
              <a:extLst>
                <a:ext uri="{FF2B5EF4-FFF2-40B4-BE49-F238E27FC236}">
                  <a16:creationId xmlns:a16="http://schemas.microsoft.com/office/drawing/2014/main" id="{6C2D27F4-D54A-5ED9-BAAB-BD249C338FBE}"/>
                </a:ext>
              </a:extLst>
            </xdr:cNvPr>
            <xdr:cNvSpPr txBox="1"/>
          </xdr:nvSpPr>
          <xdr:spPr>
            <a:xfrm>
              <a:off x="889000" y="1500909"/>
              <a:ext cx="1835727"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2AD51B-C8BC-42FF-9B7E-F2BA0F2D913A}" type="TxLink">
                <a:rPr lang="en-US" sz="4000" b="1" i="0" u="none" strike="noStrike">
                  <a:solidFill>
                    <a:srgbClr val="99FBF9"/>
                  </a:solidFill>
                  <a:latin typeface="Calibri"/>
                  <a:cs typeface="Calibri"/>
                </a:rPr>
                <a:pPr algn="ctr"/>
                <a:t>9441H</a:t>
              </a:fld>
              <a:endParaRPr lang="en-GB" sz="4000" b="1">
                <a:solidFill>
                  <a:srgbClr val="99FBF9"/>
                </a:solidFill>
              </a:endParaRPr>
            </a:p>
          </xdr:txBody>
        </xdr:sp>
        <xdr:sp macro="" textlink="Analysis!K735">
          <xdr:nvSpPr>
            <xdr:cNvPr id="37" name="TextBox 36">
              <a:extLst>
                <a:ext uri="{FF2B5EF4-FFF2-40B4-BE49-F238E27FC236}">
                  <a16:creationId xmlns:a16="http://schemas.microsoft.com/office/drawing/2014/main" id="{6220A70A-4CE7-4389-C09A-B9C5972C074E}"/>
                </a:ext>
              </a:extLst>
            </xdr:cNvPr>
            <xdr:cNvSpPr txBox="1"/>
          </xdr:nvSpPr>
          <xdr:spPr>
            <a:xfrm>
              <a:off x="4110182" y="1524000"/>
              <a:ext cx="1835727"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E18C7A-2747-45A9-8BB3-6394B576E69B}" type="TxLink">
                <a:rPr lang="en-US" sz="4000" b="1" i="0" u="none" strike="noStrike">
                  <a:solidFill>
                    <a:srgbClr val="99FBF9"/>
                  </a:solidFill>
                  <a:latin typeface="Calibri"/>
                  <a:cs typeface="Calibri"/>
                </a:rPr>
                <a:pPr algn="ctr"/>
                <a:t>7 Y</a:t>
              </a:fld>
              <a:endParaRPr lang="en-US" sz="4000" b="1">
                <a:solidFill>
                  <a:srgbClr val="99FBF9"/>
                </a:solidFill>
              </a:endParaRPr>
            </a:p>
          </xdr:txBody>
        </xdr:sp>
        <xdr:sp macro="" textlink="Analysis!C36">
          <xdr:nvSpPr>
            <xdr:cNvPr id="38" name="TextBox 37">
              <a:extLst>
                <a:ext uri="{FF2B5EF4-FFF2-40B4-BE49-F238E27FC236}">
                  <a16:creationId xmlns:a16="http://schemas.microsoft.com/office/drawing/2014/main" id="{EA4CED30-DCDE-0443-283E-B3DDA15BE40A}"/>
                </a:ext>
              </a:extLst>
            </xdr:cNvPr>
            <xdr:cNvSpPr txBox="1"/>
          </xdr:nvSpPr>
          <xdr:spPr>
            <a:xfrm>
              <a:off x="7031183" y="1535545"/>
              <a:ext cx="1835727"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299789-BC82-49A9-81C1-EA47C6282689}" type="TxLink">
                <a:rPr lang="en-US" sz="4000" b="1" i="0" u="none" strike="noStrike">
                  <a:solidFill>
                    <a:srgbClr val="99FBF9"/>
                  </a:solidFill>
                  <a:latin typeface="Calibri"/>
                  <a:cs typeface="Calibri"/>
                </a:rPr>
                <a:pPr algn="ctr"/>
                <a:t>1M</a:t>
              </a:fld>
              <a:endParaRPr lang="en-GB" sz="4000" b="1">
                <a:solidFill>
                  <a:srgbClr val="99FBF9"/>
                </a:solidFill>
              </a:endParaRPr>
            </a:p>
          </xdr:txBody>
        </xdr:sp>
        <xdr:sp macro="" textlink="Analysis!C32">
          <xdr:nvSpPr>
            <xdr:cNvPr id="39" name="TextBox 38">
              <a:extLst>
                <a:ext uri="{FF2B5EF4-FFF2-40B4-BE49-F238E27FC236}">
                  <a16:creationId xmlns:a16="http://schemas.microsoft.com/office/drawing/2014/main" id="{00B97CDB-A7C7-37E8-BDBC-617615C66E3B}"/>
                </a:ext>
              </a:extLst>
            </xdr:cNvPr>
            <xdr:cNvSpPr txBox="1"/>
          </xdr:nvSpPr>
          <xdr:spPr>
            <a:xfrm>
              <a:off x="10102272" y="1524000"/>
              <a:ext cx="1835727"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D8A24A-CD30-47BD-96A5-9454B47F26F1}" type="TxLink">
                <a:rPr lang="en-US" sz="4000" b="1" i="0" u="none" strike="noStrike">
                  <a:solidFill>
                    <a:srgbClr val="99FBF9"/>
                  </a:solidFill>
                  <a:latin typeface="Calibri"/>
                  <a:cs typeface="Calibri"/>
                </a:rPr>
                <a:pPr algn="ctr"/>
                <a:t>25K</a:t>
              </a:fld>
              <a:endParaRPr lang="en-GB" sz="4000" b="1">
                <a:solidFill>
                  <a:srgbClr val="99FBF9"/>
                </a:solidFill>
              </a:endParaRPr>
            </a:p>
          </xdr:txBody>
        </xdr:sp>
        <xdr:sp macro="" textlink="Analysis!H28">
          <xdr:nvSpPr>
            <xdr:cNvPr id="40" name="TextBox 39">
              <a:extLst>
                <a:ext uri="{FF2B5EF4-FFF2-40B4-BE49-F238E27FC236}">
                  <a16:creationId xmlns:a16="http://schemas.microsoft.com/office/drawing/2014/main" id="{F557CAB3-E5F8-5529-0075-42ADB25B6652}"/>
                </a:ext>
              </a:extLst>
            </xdr:cNvPr>
            <xdr:cNvSpPr txBox="1"/>
          </xdr:nvSpPr>
          <xdr:spPr>
            <a:xfrm>
              <a:off x="13073133" y="1462717"/>
              <a:ext cx="2393251" cy="477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D40774-90F3-4DF4-BA1B-CE97E35D604D}" type="TxLink">
                <a:rPr lang="en-US" sz="3600" b="1" i="0" u="none" strike="noStrike">
                  <a:solidFill>
                    <a:srgbClr val="99FBF9"/>
                  </a:solidFill>
                  <a:latin typeface="Calibri"/>
                  <a:cs typeface="Calibri"/>
                </a:rPr>
                <a:pPr algn="ctr"/>
                <a:t>1.6 Days</a:t>
              </a:fld>
              <a:endParaRPr lang="en-GB" sz="3600" b="1">
                <a:solidFill>
                  <a:srgbClr val="99FBF9"/>
                </a:solidFill>
              </a:endParaRPr>
            </a:p>
          </xdr:txBody>
        </xdr:sp>
        <xdr:sp macro="" textlink="Analysis!D733">
          <xdr:nvSpPr>
            <xdr:cNvPr id="41" name="TextBox 40">
              <a:extLst>
                <a:ext uri="{FF2B5EF4-FFF2-40B4-BE49-F238E27FC236}">
                  <a16:creationId xmlns:a16="http://schemas.microsoft.com/office/drawing/2014/main" id="{56018E26-E1C7-4587-7260-16A0C8568123}"/>
                </a:ext>
              </a:extLst>
            </xdr:cNvPr>
            <xdr:cNvSpPr txBox="1"/>
          </xdr:nvSpPr>
          <xdr:spPr>
            <a:xfrm>
              <a:off x="16394545" y="1535545"/>
              <a:ext cx="1835727"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364E42-7E64-4423-B6A8-1A1E16EC283E}" type="TxLink">
                <a:rPr lang="en-US" sz="4000" b="1" i="0" u="none" strike="noStrike">
                  <a:solidFill>
                    <a:srgbClr val="99FBF9"/>
                  </a:solidFill>
                  <a:latin typeface="Calibri"/>
                  <a:cs typeface="Calibri"/>
                </a:rPr>
                <a:pPr algn="ctr"/>
                <a:t>4/5</a:t>
              </a:fld>
              <a:endParaRPr lang="en-GB" sz="4000" b="1">
                <a:solidFill>
                  <a:srgbClr val="99FBF9"/>
                </a:solidFill>
              </a:endParaRPr>
            </a:p>
          </xdr:txBody>
        </xdr:sp>
        <xdr:pic>
          <xdr:nvPicPr>
            <xdr:cNvPr id="43" name="Graphic 42" descr="Stopwatch with solid fill">
              <a:extLst>
                <a:ext uri="{FF2B5EF4-FFF2-40B4-BE49-F238E27FC236}">
                  <a16:creationId xmlns:a16="http://schemas.microsoft.com/office/drawing/2014/main" id="{1855B92A-33CB-B66A-581B-D13383A37A3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586181" y="1223818"/>
              <a:ext cx="879763" cy="856672"/>
            </a:xfrm>
            <a:prstGeom prst="rect">
              <a:avLst/>
            </a:prstGeom>
          </xdr:spPr>
        </xdr:pic>
        <xdr:graphicFrame macro="">
          <xdr:nvGraphicFramePr>
            <xdr:cNvPr id="44" name="Chart 43">
              <a:extLst>
                <a:ext uri="{FF2B5EF4-FFF2-40B4-BE49-F238E27FC236}">
                  <a16:creationId xmlns:a16="http://schemas.microsoft.com/office/drawing/2014/main" id="{6F621768-A5BE-4722-8D8A-A89B82B6FDBC}"/>
                </a:ext>
              </a:extLst>
            </xdr:cNvPr>
            <xdr:cNvGraphicFramePr>
              <a:graphicFrameLocks/>
            </xdr:cNvGraphicFramePr>
          </xdr:nvGraphicFramePr>
          <xdr:xfrm>
            <a:off x="508000" y="2228273"/>
            <a:ext cx="7123545" cy="2805545"/>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45" name="Chart 44">
              <a:extLst>
                <a:ext uri="{FF2B5EF4-FFF2-40B4-BE49-F238E27FC236}">
                  <a16:creationId xmlns:a16="http://schemas.microsoft.com/office/drawing/2014/main" id="{E9B9A8BA-F722-41AA-AA8F-6C97D23E840A}"/>
                </a:ext>
              </a:extLst>
            </xdr:cNvPr>
            <xdr:cNvGraphicFramePr>
              <a:graphicFrameLocks/>
            </xdr:cNvGraphicFramePr>
          </xdr:nvGraphicFramePr>
          <xdr:xfrm>
            <a:off x="12157364" y="5230092"/>
            <a:ext cx="7135091" cy="3163454"/>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46" name="Chart 45">
              <a:extLst>
                <a:ext uri="{FF2B5EF4-FFF2-40B4-BE49-F238E27FC236}">
                  <a16:creationId xmlns:a16="http://schemas.microsoft.com/office/drawing/2014/main" id="{2070FA85-5557-4F7D-B704-0BFC4E3498C6}"/>
                </a:ext>
              </a:extLst>
            </xdr:cNvPr>
            <xdr:cNvGraphicFramePr>
              <a:graphicFrameLocks/>
            </xdr:cNvGraphicFramePr>
          </xdr:nvGraphicFramePr>
          <xdr:xfrm>
            <a:off x="7746998" y="2101272"/>
            <a:ext cx="6003637" cy="3024909"/>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47" name="Chart 46">
              <a:extLst>
                <a:ext uri="{FF2B5EF4-FFF2-40B4-BE49-F238E27FC236}">
                  <a16:creationId xmlns:a16="http://schemas.microsoft.com/office/drawing/2014/main" id="{881217D0-8ED4-49D9-AC06-05C21F48F7CA}"/>
                </a:ext>
              </a:extLst>
            </xdr:cNvPr>
            <xdr:cNvGraphicFramePr>
              <a:graphicFrameLocks/>
            </xdr:cNvGraphicFramePr>
          </xdr:nvGraphicFramePr>
          <xdr:xfrm>
            <a:off x="14062365" y="2112818"/>
            <a:ext cx="5472545" cy="3057237"/>
          </xdr:xfrm>
          <a:graphic>
            <a:graphicData uri="http://schemas.openxmlformats.org/drawingml/2006/chart">
              <c:chart xmlns:c="http://schemas.openxmlformats.org/drawingml/2006/chart" xmlns:r="http://schemas.openxmlformats.org/officeDocument/2006/relationships" r:id="rId18"/>
            </a:graphicData>
          </a:graphic>
        </xdr:graphicFrame>
        <xdr:sp macro="" textlink="Analysis!B740">
          <xdr:nvSpPr>
            <xdr:cNvPr id="22" name="TextBox 21">
              <a:extLst>
                <a:ext uri="{FF2B5EF4-FFF2-40B4-BE49-F238E27FC236}">
                  <a16:creationId xmlns:a16="http://schemas.microsoft.com/office/drawing/2014/main" id="{FDC32CB8-A70B-1811-F98C-DA4D4E1B083B}"/>
                </a:ext>
              </a:extLst>
            </xdr:cNvPr>
            <xdr:cNvSpPr txBox="1"/>
          </xdr:nvSpPr>
          <xdr:spPr>
            <a:xfrm>
              <a:off x="889000" y="561691"/>
              <a:ext cx="1835727"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5B0BAB-0E52-486A-8BD2-57099BDFF2DD}" type="TxLink">
                <a:rPr lang="en-US" sz="4000" b="1" i="0" u="none" strike="noStrike">
                  <a:solidFill>
                    <a:srgbClr val="99FBF9"/>
                  </a:solidFill>
                  <a:latin typeface="Calibri"/>
                  <a:cs typeface="Calibri"/>
                </a:rPr>
                <a:pPr algn="ctr"/>
                <a:t>237705</a:t>
              </a:fld>
              <a:endParaRPr lang="en-GB" sz="4000" b="1" i="1">
                <a:solidFill>
                  <a:srgbClr val="99FBF9"/>
                </a:solidFill>
              </a:endParaRPr>
            </a:p>
          </xdr:txBody>
        </xdr:sp>
        <xdr:sp macro="" textlink="Analysis!E748">
          <xdr:nvSpPr>
            <xdr:cNvPr id="24" name="TextBox 23">
              <a:extLst>
                <a:ext uri="{FF2B5EF4-FFF2-40B4-BE49-F238E27FC236}">
                  <a16:creationId xmlns:a16="http://schemas.microsoft.com/office/drawing/2014/main" id="{DA694E62-A49E-FD68-7D1C-2983B91CCE40}"/>
                </a:ext>
              </a:extLst>
            </xdr:cNvPr>
            <xdr:cNvSpPr txBox="1"/>
          </xdr:nvSpPr>
          <xdr:spPr>
            <a:xfrm>
              <a:off x="3739697" y="507939"/>
              <a:ext cx="2165318" cy="400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1589CC-E754-44FF-BFC6-EDF12BA20567}" type="TxLink">
                <a:rPr lang="en-US" sz="1800" b="1" i="0" u="none" strike="noStrike">
                  <a:solidFill>
                    <a:srgbClr val="99FBF9"/>
                  </a:solidFill>
                  <a:latin typeface="Franklin Gothic Medium" panose="020B0603020102020204" pitchFamily="34" charset="0"/>
                  <a:cs typeface="Calibri"/>
                </a:rPr>
                <a:pPr algn="ctr"/>
                <a:t>Abd Albasit AlAhmar</a:t>
              </a:fld>
              <a:endParaRPr lang="en-GB" sz="1800" b="1" i="1">
                <a:solidFill>
                  <a:srgbClr val="99FBF9"/>
                </a:solidFill>
                <a:latin typeface="Franklin Gothic Medium" panose="020B0603020102020204" pitchFamily="34" charset="0"/>
              </a:endParaRPr>
            </a:p>
          </xdr:txBody>
        </xdr:sp>
      </xdr:grpSp>
      <xdr:graphicFrame macro="">
        <xdr:nvGraphicFramePr>
          <xdr:cNvPr id="49" name="Chart 48">
            <a:extLst>
              <a:ext uri="{FF2B5EF4-FFF2-40B4-BE49-F238E27FC236}">
                <a16:creationId xmlns:a16="http://schemas.microsoft.com/office/drawing/2014/main" id="{4295783F-F0D2-46E8-BD0C-C79B591E2367}"/>
              </a:ext>
            </a:extLst>
          </xdr:cNvPr>
          <xdr:cNvGraphicFramePr>
            <a:graphicFrameLocks/>
          </xdr:cNvGraphicFramePr>
        </xdr:nvGraphicFramePr>
        <xdr:xfrm>
          <a:off x="7162800" y="5308600"/>
          <a:ext cx="5829300" cy="3441700"/>
        </xdr:xfrm>
        <a:graphic>
          <a:graphicData uri="http://schemas.openxmlformats.org/drawingml/2006/chart">
            <c:chart xmlns:c="http://schemas.openxmlformats.org/drawingml/2006/chart" xmlns:r="http://schemas.openxmlformats.org/officeDocument/2006/relationships" r:id="rId19"/>
          </a:graphicData>
        </a:graphic>
      </xdr:graphicFrame>
      <mc:AlternateContent xmlns:mc="http://schemas.openxmlformats.org/markup-compatibility/2006" xmlns:a14="http://schemas.microsoft.com/office/drawing/2010/main">
        <mc:Choice Requires="a14">
          <xdr:graphicFrame macro="">
            <xdr:nvGraphicFramePr>
              <xdr:cNvPr id="82" name="Department 2">
                <a:extLst>
                  <a:ext uri="{FF2B5EF4-FFF2-40B4-BE49-F238E27FC236}">
                    <a16:creationId xmlns:a16="http://schemas.microsoft.com/office/drawing/2014/main" id="{561C08E0-2D4C-49E1-8ABB-2F75D81DD5A6}"/>
                  </a:ext>
                </a:extLst>
              </xdr:cNvPr>
              <xdr:cNvGraphicFramePr/>
            </xdr:nvGraphicFramePr>
            <xdr:xfrm>
              <a:off x="939800" y="5194300"/>
              <a:ext cx="2781300" cy="334010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494228" y="5037905"/>
                <a:ext cx="2848315" cy="32395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3" name="Country ">
                <a:extLst>
                  <a:ext uri="{FF2B5EF4-FFF2-40B4-BE49-F238E27FC236}">
                    <a16:creationId xmlns:a16="http://schemas.microsoft.com/office/drawing/2014/main" id="{125C698B-915F-4FE5-8EEE-F19B0C8B898F}"/>
                  </a:ext>
                </a:extLst>
              </xdr:cNvPr>
              <xdr:cNvGraphicFramePr/>
            </xdr:nvGraphicFramePr>
            <xdr:xfrm>
              <a:off x="3835400" y="5270500"/>
              <a:ext cx="3530600" cy="1739900"/>
            </xdr:xfrm>
            <a:graphic>
              <a:graphicData uri="http://schemas.microsoft.com/office/drawing/2010/slicer">
                <sle:slicer xmlns:sle="http://schemas.microsoft.com/office/drawing/2010/slicer" name="Country "/>
              </a:graphicData>
            </a:graphic>
          </xdr:graphicFrame>
        </mc:Choice>
        <mc:Fallback xmlns="">
          <xdr:sp macro="" textlink="">
            <xdr:nvSpPr>
              <xdr:cNvPr id="0" name=""/>
              <xdr:cNvSpPr>
                <a:spLocks noTextEdit="1"/>
              </xdr:cNvSpPr>
            </xdr:nvSpPr>
            <xdr:spPr>
              <a:xfrm>
                <a:off x="3459597" y="5111811"/>
                <a:ext cx="3615669" cy="16875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5</xdr:col>
      <xdr:colOff>380999</xdr:colOff>
      <xdr:row>36</xdr:row>
      <xdr:rowOff>115455</xdr:rowOff>
    </xdr:from>
    <xdr:to>
      <xdr:col>11</xdr:col>
      <xdr:colOff>242453</xdr:colOff>
      <xdr:row>46</xdr:row>
      <xdr:rowOff>46182</xdr:rowOff>
    </xdr:to>
    <mc:AlternateContent xmlns:mc="http://schemas.openxmlformats.org/markup-compatibility/2006" xmlns:a14="http://schemas.microsoft.com/office/drawing/2010/main">
      <mc:Choice Requires="a14">
        <xdr:graphicFrame macro="">
          <xdr:nvGraphicFramePr>
            <xdr:cNvPr id="25" name="ID">
              <a:extLst>
                <a:ext uri="{FF2B5EF4-FFF2-40B4-BE49-F238E27FC236}">
                  <a16:creationId xmlns:a16="http://schemas.microsoft.com/office/drawing/2014/main" id="{79C2F0D1-ED87-423C-A1B6-9731F2F724AD}"/>
                </a:ext>
              </a:extLst>
            </xdr:cNvPr>
            <xdr:cNvGraphicFramePr/>
          </xdr:nvGraphicFramePr>
          <xdr:xfrm>
            <a:off x="0" y="0"/>
            <a:ext cx="0" cy="0"/>
          </xdr:xfrm>
          <a:graphic>
            <a:graphicData uri="http://schemas.microsoft.com/office/drawing/2010/slicer">
              <sle:slicer xmlns:sle="http://schemas.microsoft.com/office/drawing/2010/slicer" name="ID"/>
            </a:graphicData>
          </a:graphic>
        </xdr:graphicFrame>
      </mc:Choice>
      <mc:Fallback xmlns="">
        <xdr:sp macro="" textlink="">
          <xdr:nvSpPr>
            <xdr:cNvPr id="0" name=""/>
            <xdr:cNvSpPr>
              <a:spLocks noTextEdit="1"/>
            </xdr:cNvSpPr>
          </xdr:nvSpPr>
          <xdr:spPr>
            <a:xfrm>
              <a:off x="3440544" y="6765637"/>
              <a:ext cx="3532909" cy="1778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353685879629" backgroundQuery="1" createdVersion="8" refreshedVersion="8" minRefreshableVersion="3" recordCount="0" supportSubquery="1" supportAdvancedDrill="1" xr:uid="{917F222D-5B1B-4488-8FBB-DE9763D60BD3}">
  <cacheSource type="external" connectionId="2"/>
  <cacheFields count="4">
    <cacheField name="[mmmm].[Country].[Country]" caption="Country" numFmtId="0" hierarchy="8" level="1">
      <sharedItems count="5">
        <s v="Egypt"/>
        <s v="Lebanon"/>
        <s v="Saudi Arabia"/>
        <s v="Syria"/>
        <s v="United Arab Emirates"/>
      </sharedItems>
    </cacheField>
    <cacheField name="[Measures].[Distinct Count of ID]" caption="Distinct Count of ID" numFmtId="0" hierarchy="24" level="32767"/>
    <cacheField name="[mmmm].[Center].[Center]" caption="Center" numFmtId="0" hierarchy="9" level="1">
      <sharedItems count="5">
        <s v="East"/>
        <s v="Main"/>
        <s v="North"/>
        <s v="South"/>
        <s v="West"/>
      </sharedItems>
    </cacheField>
    <cacheField name="[mmmm].[Department].[Department]" caption="Department" numFmtId="0" hierarchy="7" level="1">
      <sharedItems containsSemiMixedTypes="0" containsNonDate="0" containsString="0"/>
    </cacheField>
  </cacheFields>
  <cacheHierarchies count="39">
    <cacheHierarchy uniqueName="[mmmm].[ID]" caption="ID" attribute="1" defaultMemberUniqueName="[mmmm].[ID].[All]" allUniqueName="[mmmm].[ID].[All]" dimensionUniqueName="[mmmm]" displayFolder="" count="2" memberValueDatatype="20" unbalanced="0"/>
    <cacheHierarchy uniqueName="[mmmm].[First Name]" caption="First Name" attribute="1" defaultMemberUniqueName="[mmmm].[First Name].[All]" allUniqueName="[mmmm].[First Name].[All]" dimensionUniqueName="[mmmm]" displayFolder="" count="0" memberValueDatatype="130" unbalanced="0"/>
    <cacheHierarchy uniqueName="[mmmm].[Last Name]" caption="Last Name" attribute="1" defaultMemberUniqueName="[mmmm].[Last Name].[All]" allUniqueName="[mmmm].[Last Name].[All]" dimensionUniqueName="[mmmm]" displayFolder="" count="0" memberValueDatatype="130" unbalanced="0"/>
    <cacheHierarchy uniqueName="[mmmm].[Empolyee name]" caption="Empolyee name" attribute="1" defaultMemberUniqueName="[mmmm].[Empolyee name].[All]" allUniqueName="[mmmm].[Empolyee name].[All]" dimensionUniqueName="[mmmm]" displayFolder="" count="0" memberValueDatatype="130" unbalanced="0"/>
    <cacheHierarchy uniqueName="[mmmm].[Gender]" caption="Gender" attribute="1" defaultMemberUniqueName="[mmmm].[Gender].[All]" allUniqueName="[mmmm].[Gender].[All]" dimensionUniqueName="[mmmm]" displayFolder="" count="0" memberValueDatatype="130" unbalanced="0"/>
    <cacheHierarchy uniqueName="[mmmm].[Start Date]" caption="Start Date" attribute="1" time="1" defaultMemberUniqueName="[mmmm].[Start Date].[All]" allUniqueName="[mmmm].[Start Date].[All]" dimensionUniqueName="[mmmm]" displayFolder="" count="0" memberValueDatatype="7" unbalanced="0"/>
    <cacheHierarchy uniqueName="[mmmm].[Years]" caption="Years" attribute="1" defaultMemberUniqueName="[mmmm].[Years].[All]" allUniqueName="[mmmm].[Years].[All]" dimensionUniqueName="[mmmm]" displayFolder="" count="0" memberValueDatatype="20" unbalanced="0"/>
    <cacheHierarchy uniqueName="[mmmm].[Department]" caption="Department" attribute="1" defaultMemberUniqueName="[mmmm].[Department].[All]" allUniqueName="[mmmm].[Department].[All]" dimensionUniqueName="[mmmm]" displayFolder="" count="2" memberValueDatatype="130" unbalanced="0">
      <fieldsUsage count="2">
        <fieldUsage x="-1"/>
        <fieldUsage x="3"/>
      </fieldsUsage>
    </cacheHierarchy>
    <cacheHierarchy uniqueName="[mmmm].[Country]" caption="Country" attribute="1" defaultMemberUniqueName="[mmmm].[Country].[All]" allUniqueName="[mmmm].[Country].[All]" dimensionUniqueName="[mmmm]" displayFolder="" count="2" memberValueDatatype="130" unbalanced="0">
      <fieldsUsage count="2">
        <fieldUsage x="-1"/>
        <fieldUsage x="0"/>
      </fieldsUsage>
    </cacheHierarchy>
    <cacheHierarchy uniqueName="[mmmm].[Center]" caption="Center" attribute="1" defaultMemberUniqueName="[mmmm].[Center].[All]" allUniqueName="[mmmm].[Center].[All]" dimensionUniqueName="[mmmm]" displayFolder="" count="2" memberValueDatatype="130" unbalanced="0">
      <fieldsUsage count="2">
        <fieldUsage x="-1"/>
        <fieldUsage x="2"/>
      </fieldsUsage>
    </cacheHierarchy>
    <cacheHierarchy uniqueName="[mmmm].[Monthly Salary]" caption="Monthly Salary" attribute="1" defaultMemberUniqueName="[mmmm].[Monthly Salary].[All]" allUniqueName="[mmmm].[Monthly Salary].[All]" dimensionUniqueName="[mmmm]" displayFolder="" count="0" memberValueDatatype="20" unbalanced="0"/>
    <cacheHierarchy uniqueName="[mmmm].[Annual Salary]" caption="Annual Salary" attribute="1" defaultMemberUniqueName="[mmmm].[Annual Salary].[All]" allUniqueName="[mmmm].[Annual Salary].[All]" dimensionUniqueName="[mmmm]" displayFolder="" count="0" memberValueDatatype="20" unbalanced="0"/>
    <cacheHierarchy uniqueName="[mmmm].[Job Rate]" caption="Job Rate" attribute="1" defaultMemberUniqueName="[mmmm].[Job Rate].[All]" allUniqueName="[mmmm].[Job Rate].[All]" dimensionUniqueName="[mmmm]" displayFolder="" count="0" memberValueDatatype="5" unbalanced="0"/>
    <cacheHierarchy uniqueName="[mmmm].[Sick Leaves]" caption="Sick Leaves" attribute="1" defaultMemberUniqueName="[mmmm].[Sick Leaves].[All]" allUniqueName="[mmmm].[Sick Leaves].[All]" dimensionUniqueName="[mmmm]" displayFolder="" count="0" memberValueDatatype="20" unbalanced="0"/>
    <cacheHierarchy uniqueName="[mmmm].[Unpaid Leaves]" caption="Unpaid Leaves" attribute="1" defaultMemberUniqueName="[mmmm].[Unpaid Leaves].[All]" allUniqueName="[mmmm].[Unpaid Leaves].[All]" dimensionUniqueName="[mmmm]" displayFolder="" count="0" memberValueDatatype="20" unbalanced="0"/>
    <cacheHierarchy uniqueName="[mmmm].[Overtime Hours]" caption="Overtime Hours" attribute="1" defaultMemberUniqueName="[mmmm].[Overtime Hours].[All]" allUniqueName="[mmmm].[Overtime Hours].[All]" dimensionUniqueName="[mmmm]" displayFolder="" count="0" memberValueDatatype="20" unbalanced="0"/>
    <cacheHierarchy uniqueName="[mmmm].[Start Date (Year)]" caption="Start Date (Year)" attribute="1" defaultMemberUniqueName="[mmmm].[Start Date (Year)].[All]" allUniqueName="[mmmm].[Start Date (Year)].[All]" dimensionUniqueName="[mmmm]" displayFolder="" count="0" memberValueDatatype="130" unbalanced="0"/>
    <cacheHierarchy uniqueName="[mmmm].[Start Date (Quarter)]" caption="Start Date (Quarter)" attribute="1" defaultMemberUniqueName="[mmmm].[Start Date (Quarter)].[All]" allUniqueName="[mmmm].[Start Date (Quarter)].[All]" dimensionUniqueName="[mmmm]" displayFolder="" count="0" memberValueDatatype="130" unbalanced="0"/>
    <cacheHierarchy uniqueName="[mmmm].[Start Date (Month)]" caption="Start Date (Month)" attribute="1" defaultMemberUniqueName="[mmmm].[Start Date (Month)].[All]" allUniqueName="[mmmm].[Start Date (Month)].[All]" dimensionUniqueName="[mmmm]" displayFolder="" count="0" memberValueDatatype="130" unbalanced="0"/>
    <cacheHierarchy uniqueName="[mmmm].[Start Date (Month Index)]" caption="Start Date (Month Index)" attribute="1" defaultMemberUniqueName="[mmmm].[Start Date (Month Index)].[All]" allUniqueName="[mmmm].[Start Date (Month Index)].[All]" dimensionUniqueName="[mmmm]" displayFolder="" count="0" memberValueDatatype="20" unbalanced="0" hidden="1"/>
    <cacheHierarchy uniqueName="[Measures].[__XL_Count mmmm]" caption="__XL_Count mmmm" measure="1" displayFolder="" measureGroup="mmmm" count="0" hidden="1"/>
    <cacheHierarchy uniqueName="[Measures].[__No measures defined]" caption="__No measures defined" measure="1" displayFolder="" count="0" hidden="1"/>
    <cacheHierarchy uniqueName="[Measures].[Sum of ID]" caption="Sum of ID" measure="1" displayFolder="" measureGroup="mmmm"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mmmm"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mmmm"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mmmm"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mmmm" count="0" hidden="1">
      <extLst>
        <ext xmlns:x15="http://schemas.microsoft.com/office/spreadsheetml/2010/11/main" uri="{B97F6D7D-B522-45F9-BDA1-12C45D357490}">
          <x15:cacheHierarchy aggregatedColumn="10"/>
        </ext>
      </extLst>
    </cacheHierarchy>
    <cacheHierarchy uniqueName="[Measures].[Sum of Unpaid Leaves]" caption="Sum of Unpaid Leaves" measure="1" displayFolder="" measureGroup="mmmm"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mmmm"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mmmm" count="0" hidden="1">
      <extLst>
        <ext xmlns:x15="http://schemas.microsoft.com/office/spreadsheetml/2010/11/main" uri="{B97F6D7D-B522-45F9-BDA1-12C45D357490}">
          <x15:cacheHierarchy aggregatedColumn="15"/>
        </ext>
      </extLst>
    </cacheHierarchy>
    <cacheHierarchy uniqueName="[Measures].[Sum of Annual Salary]" caption="Sum of Annual Salary" measure="1" displayFolder="" measureGroup="mmmm" count="0" hidden="1">
      <extLst>
        <ext xmlns:x15="http://schemas.microsoft.com/office/spreadsheetml/2010/11/main" uri="{B97F6D7D-B522-45F9-BDA1-12C45D357490}">
          <x15:cacheHierarchy aggregatedColumn="11"/>
        </ext>
      </extLst>
    </cacheHierarchy>
    <cacheHierarchy uniqueName="[Measures].[Average of Annual Salary]" caption="Average of Annual Salary" measure="1" displayFolder="" measureGroup="mmmm"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mmmm" count="0" hidden="1">
      <extLst>
        <ext xmlns:x15="http://schemas.microsoft.com/office/spreadsheetml/2010/11/main" uri="{B97F6D7D-B522-45F9-BDA1-12C45D357490}">
          <x15:cacheHierarchy aggregatedColumn="12"/>
        </ext>
      </extLst>
    </cacheHierarchy>
    <cacheHierarchy uniqueName="[Measures].[Sum of Years]" caption="Sum of Years" measure="1" displayFolder="" measureGroup="mmmm" count="0" hidden="1">
      <extLst>
        <ext xmlns:x15="http://schemas.microsoft.com/office/spreadsheetml/2010/11/main" uri="{B97F6D7D-B522-45F9-BDA1-12C45D357490}">
          <x15:cacheHierarchy aggregatedColumn="6"/>
        </ext>
      </extLst>
    </cacheHierarchy>
    <cacheHierarchy uniqueName="[Measures].[Average of Sick Leaves]" caption="Average of Sick Leaves" measure="1" displayFolder="" measureGroup="mmmm"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mmmm" count="0" hidden="1">
      <extLst>
        <ext xmlns:x15="http://schemas.microsoft.com/office/spreadsheetml/2010/11/main" uri="{B97F6D7D-B522-45F9-BDA1-12C45D357490}">
          <x15:cacheHierarchy aggregatedColumn="14"/>
        </ext>
      </extLst>
    </cacheHierarchy>
    <cacheHierarchy uniqueName="[Measures].[Average of Job Rate]" caption="Average of Job Rate" measure="1" displayFolder="" measureGroup="mmmm" count="0" hidden="1">
      <extLst>
        <ext xmlns:x15="http://schemas.microsoft.com/office/spreadsheetml/2010/11/main" uri="{B97F6D7D-B522-45F9-BDA1-12C45D357490}">
          <x15:cacheHierarchy aggregatedColumn="12"/>
        </ext>
      </extLst>
    </cacheHierarchy>
    <cacheHierarchy uniqueName="[Measures].[Average of Years]" caption="Average of Years" measure="1" displayFolder="" measureGroup="mmmm" count="0" hidden="1">
      <extLst>
        <ext xmlns:x15="http://schemas.microsoft.com/office/spreadsheetml/2010/11/main" uri="{B97F6D7D-B522-45F9-BDA1-12C45D357490}">
          <x15:cacheHierarchy aggregatedColumn="6"/>
        </ext>
      </extLst>
    </cacheHierarchy>
    <cacheHierarchy uniqueName="[Measures].[Average of ID]" caption="Average of ID" measure="1" displayFolder="" measureGroup="mmmm"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mmm" uniqueName="[mmmm]" caption="mmmm"/>
  </dimensions>
  <measureGroups count="1">
    <measureGroup name="mmmm" caption="mmmm"/>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353686458337" backgroundQuery="1" createdVersion="8" refreshedVersion="8" minRefreshableVersion="3" recordCount="0" supportSubquery="1" supportAdvancedDrill="1" xr:uid="{D0BB1A89-4CC6-4D6C-B36E-2E3C18E6A012}">
  <cacheSource type="external" connectionId="2"/>
  <cacheFields count="2">
    <cacheField name="[Measures].[Sum of Monthly Salary]" caption="Sum of Monthly Salary" numFmtId="0" hierarchy="25" level="32767"/>
    <cacheField name="[mmmm].[Department].[Department]" caption="Department" numFmtId="0" hierarchy="7" level="1">
      <sharedItems containsSemiMixedTypes="0" containsNonDate="0" containsString="0"/>
    </cacheField>
  </cacheFields>
  <cacheHierarchies count="39">
    <cacheHierarchy uniqueName="[mmmm].[ID]" caption="ID" attribute="1" defaultMemberUniqueName="[mmmm].[ID].[All]" allUniqueName="[mmmm].[ID].[All]" dimensionUniqueName="[mmmm]" displayFolder="" count="2" memberValueDatatype="20" unbalanced="0"/>
    <cacheHierarchy uniqueName="[mmmm].[First Name]" caption="First Name" attribute="1" defaultMemberUniqueName="[mmmm].[First Name].[All]" allUniqueName="[mmmm].[First Name].[All]" dimensionUniqueName="[mmmm]" displayFolder="" count="0" memberValueDatatype="130" unbalanced="0"/>
    <cacheHierarchy uniqueName="[mmmm].[Last Name]" caption="Last Name" attribute="1" defaultMemberUniqueName="[mmmm].[Last Name].[All]" allUniqueName="[mmmm].[Last Name].[All]" dimensionUniqueName="[mmmm]" displayFolder="" count="0" memberValueDatatype="130" unbalanced="0"/>
    <cacheHierarchy uniqueName="[mmmm].[Empolyee name]" caption="Empolyee name" attribute="1" defaultMemberUniqueName="[mmmm].[Empolyee name].[All]" allUniqueName="[mmmm].[Empolyee name].[All]" dimensionUniqueName="[mmmm]" displayFolder="" count="0" memberValueDatatype="130" unbalanced="0"/>
    <cacheHierarchy uniqueName="[mmmm].[Gender]" caption="Gender" attribute="1" defaultMemberUniqueName="[mmmm].[Gender].[All]" allUniqueName="[mmmm].[Gender].[All]" dimensionUniqueName="[mmmm]" displayFolder="" count="0" memberValueDatatype="130" unbalanced="0"/>
    <cacheHierarchy uniqueName="[mmmm].[Start Date]" caption="Start Date" attribute="1" time="1" defaultMemberUniqueName="[mmmm].[Start Date].[All]" allUniqueName="[mmmm].[Start Date].[All]" dimensionUniqueName="[mmmm]" displayFolder="" count="0" memberValueDatatype="7" unbalanced="0"/>
    <cacheHierarchy uniqueName="[mmmm].[Years]" caption="Years" attribute="1" defaultMemberUniqueName="[mmmm].[Years].[All]" allUniqueName="[mmmm].[Years].[All]" dimensionUniqueName="[mmmm]" displayFolder="" count="0" memberValueDatatype="20" unbalanced="0"/>
    <cacheHierarchy uniqueName="[mmmm].[Department]" caption="Department" attribute="1" defaultMemberUniqueName="[mmmm].[Department].[All]" allUniqueName="[mmmm].[Department].[All]" dimensionUniqueName="[mmmm]" displayFolder="" count="2" memberValueDatatype="130" unbalanced="0">
      <fieldsUsage count="2">
        <fieldUsage x="-1"/>
        <fieldUsage x="1"/>
      </fieldsUsage>
    </cacheHierarchy>
    <cacheHierarchy uniqueName="[mmmm].[Country]" caption="Country" attribute="1" defaultMemberUniqueName="[mmmm].[Country].[All]" allUniqueName="[mmmm].[Country].[All]" dimensionUniqueName="[mmmm]" displayFolder="" count="2" memberValueDatatype="130" unbalanced="0"/>
    <cacheHierarchy uniqueName="[mmmm].[Center]" caption="Center" attribute="1" defaultMemberUniqueName="[mmmm].[Center].[All]" allUniqueName="[mmmm].[Center].[All]" dimensionUniqueName="[mmmm]" displayFolder="" count="0" memberValueDatatype="130" unbalanced="0"/>
    <cacheHierarchy uniqueName="[mmmm].[Monthly Salary]" caption="Monthly Salary" attribute="1" defaultMemberUniqueName="[mmmm].[Monthly Salary].[All]" allUniqueName="[mmmm].[Monthly Salary].[All]" dimensionUniqueName="[mmmm]" displayFolder="" count="0" memberValueDatatype="20" unbalanced="0"/>
    <cacheHierarchy uniqueName="[mmmm].[Annual Salary]" caption="Annual Salary" attribute="1" defaultMemberUniqueName="[mmmm].[Annual Salary].[All]" allUniqueName="[mmmm].[Annual Salary].[All]" dimensionUniqueName="[mmmm]" displayFolder="" count="0" memberValueDatatype="20" unbalanced="0"/>
    <cacheHierarchy uniqueName="[mmmm].[Job Rate]" caption="Job Rate" attribute="1" defaultMemberUniqueName="[mmmm].[Job Rate].[All]" allUniqueName="[mmmm].[Job Rate].[All]" dimensionUniqueName="[mmmm]" displayFolder="" count="0" memberValueDatatype="5" unbalanced="0"/>
    <cacheHierarchy uniqueName="[mmmm].[Sick Leaves]" caption="Sick Leaves" attribute="1" defaultMemberUniqueName="[mmmm].[Sick Leaves].[All]" allUniqueName="[mmmm].[Sick Leaves].[All]" dimensionUniqueName="[mmmm]" displayFolder="" count="0" memberValueDatatype="20" unbalanced="0"/>
    <cacheHierarchy uniqueName="[mmmm].[Unpaid Leaves]" caption="Unpaid Leaves" attribute="1" defaultMemberUniqueName="[mmmm].[Unpaid Leaves].[All]" allUniqueName="[mmmm].[Unpaid Leaves].[All]" dimensionUniqueName="[mmmm]" displayFolder="" count="0" memberValueDatatype="20" unbalanced="0"/>
    <cacheHierarchy uniqueName="[mmmm].[Overtime Hours]" caption="Overtime Hours" attribute="1" defaultMemberUniqueName="[mmmm].[Overtime Hours].[All]" allUniqueName="[mmmm].[Overtime Hours].[All]" dimensionUniqueName="[mmmm]" displayFolder="" count="0" memberValueDatatype="20" unbalanced="0"/>
    <cacheHierarchy uniqueName="[mmmm].[Start Date (Year)]" caption="Start Date (Year)" attribute="1" defaultMemberUniqueName="[mmmm].[Start Date (Year)].[All]" allUniqueName="[mmmm].[Start Date (Year)].[All]" dimensionUniqueName="[mmmm]" displayFolder="" count="0" memberValueDatatype="130" unbalanced="0"/>
    <cacheHierarchy uniqueName="[mmmm].[Start Date (Quarter)]" caption="Start Date (Quarter)" attribute="1" defaultMemberUniqueName="[mmmm].[Start Date (Quarter)].[All]" allUniqueName="[mmmm].[Start Date (Quarter)].[All]" dimensionUniqueName="[mmmm]" displayFolder="" count="0" memberValueDatatype="130" unbalanced="0"/>
    <cacheHierarchy uniqueName="[mmmm].[Start Date (Month)]" caption="Start Date (Month)" attribute="1" defaultMemberUniqueName="[mmmm].[Start Date (Month)].[All]" allUniqueName="[mmmm].[Start Date (Month)].[All]" dimensionUniqueName="[mmmm]" displayFolder="" count="0" memberValueDatatype="130" unbalanced="0"/>
    <cacheHierarchy uniqueName="[mmmm].[Start Date (Month Index)]" caption="Start Date (Month Index)" attribute="1" defaultMemberUniqueName="[mmmm].[Start Date (Month Index)].[All]" allUniqueName="[mmmm].[Start Date (Month Index)].[All]" dimensionUniqueName="[mmmm]" displayFolder="" count="0" memberValueDatatype="20" unbalanced="0" hidden="1"/>
    <cacheHierarchy uniqueName="[Measures].[__XL_Count mmmm]" caption="__XL_Count mmmm" measure="1" displayFolder="" measureGroup="mmmm" count="0" hidden="1"/>
    <cacheHierarchy uniqueName="[Measures].[__No measures defined]" caption="__No measures defined" measure="1" displayFolder="" count="0" hidden="1"/>
    <cacheHierarchy uniqueName="[Measures].[Sum of ID]" caption="Sum of ID" measure="1" displayFolder="" measureGroup="mmmm"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mmmm"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mmmm"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mmmm"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mmmm" count="0" hidden="1">
      <extLst>
        <ext xmlns:x15="http://schemas.microsoft.com/office/spreadsheetml/2010/11/main" uri="{B97F6D7D-B522-45F9-BDA1-12C45D357490}">
          <x15:cacheHierarchy aggregatedColumn="10"/>
        </ext>
      </extLst>
    </cacheHierarchy>
    <cacheHierarchy uniqueName="[Measures].[Sum of Unpaid Leaves]" caption="Sum of Unpaid Leaves" measure="1" displayFolder="" measureGroup="mmmm"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mmmm"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mmmm" count="0" hidden="1">
      <extLst>
        <ext xmlns:x15="http://schemas.microsoft.com/office/spreadsheetml/2010/11/main" uri="{B97F6D7D-B522-45F9-BDA1-12C45D357490}">
          <x15:cacheHierarchy aggregatedColumn="15"/>
        </ext>
      </extLst>
    </cacheHierarchy>
    <cacheHierarchy uniqueName="[Measures].[Sum of Annual Salary]" caption="Sum of Annual Salary" measure="1" displayFolder="" measureGroup="mmmm" count="0" hidden="1">
      <extLst>
        <ext xmlns:x15="http://schemas.microsoft.com/office/spreadsheetml/2010/11/main" uri="{B97F6D7D-B522-45F9-BDA1-12C45D357490}">
          <x15:cacheHierarchy aggregatedColumn="11"/>
        </ext>
      </extLst>
    </cacheHierarchy>
    <cacheHierarchy uniqueName="[Measures].[Average of Annual Salary]" caption="Average of Annual Salary" measure="1" displayFolder="" measureGroup="mmmm"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mmmm" count="0" hidden="1">
      <extLst>
        <ext xmlns:x15="http://schemas.microsoft.com/office/spreadsheetml/2010/11/main" uri="{B97F6D7D-B522-45F9-BDA1-12C45D357490}">
          <x15:cacheHierarchy aggregatedColumn="12"/>
        </ext>
      </extLst>
    </cacheHierarchy>
    <cacheHierarchy uniqueName="[Measures].[Sum of Years]" caption="Sum of Years" measure="1" displayFolder="" measureGroup="mmmm" count="0" hidden="1">
      <extLst>
        <ext xmlns:x15="http://schemas.microsoft.com/office/spreadsheetml/2010/11/main" uri="{B97F6D7D-B522-45F9-BDA1-12C45D357490}">
          <x15:cacheHierarchy aggregatedColumn="6"/>
        </ext>
      </extLst>
    </cacheHierarchy>
    <cacheHierarchy uniqueName="[Measures].[Average of Sick Leaves]" caption="Average of Sick Leaves" measure="1" displayFolder="" measureGroup="mmmm"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mmmm" count="0" hidden="1">
      <extLst>
        <ext xmlns:x15="http://schemas.microsoft.com/office/spreadsheetml/2010/11/main" uri="{B97F6D7D-B522-45F9-BDA1-12C45D357490}">
          <x15:cacheHierarchy aggregatedColumn="14"/>
        </ext>
      </extLst>
    </cacheHierarchy>
    <cacheHierarchy uniqueName="[Measures].[Average of Job Rate]" caption="Average of Job Rate" measure="1" displayFolder="" measureGroup="mmmm" count="0" hidden="1">
      <extLst>
        <ext xmlns:x15="http://schemas.microsoft.com/office/spreadsheetml/2010/11/main" uri="{B97F6D7D-B522-45F9-BDA1-12C45D357490}">
          <x15:cacheHierarchy aggregatedColumn="12"/>
        </ext>
      </extLst>
    </cacheHierarchy>
    <cacheHierarchy uniqueName="[Measures].[Average of Years]" caption="Average of Years" measure="1" displayFolder="" measureGroup="mmmm" count="0" hidden="1">
      <extLst>
        <ext xmlns:x15="http://schemas.microsoft.com/office/spreadsheetml/2010/11/main" uri="{B97F6D7D-B522-45F9-BDA1-12C45D357490}">
          <x15:cacheHierarchy aggregatedColumn="6"/>
        </ext>
      </extLst>
    </cacheHierarchy>
    <cacheHierarchy uniqueName="[Measures].[Average of ID]" caption="Average of ID" measure="1" displayFolder="" measureGroup="mmmm"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mmm" uniqueName="[mmmm]" caption="mmmm"/>
  </dimensions>
  <measureGroups count="1">
    <measureGroup name="mmmm" caption="mmmm"/>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353686921299" backgroundQuery="1" createdVersion="8" refreshedVersion="8" minRefreshableVersion="3" recordCount="0" supportSubquery="1" supportAdvancedDrill="1" xr:uid="{287AD3FB-946D-40C2-97A8-CA8F0CBF93B3}">
  <cacheSource type="external" connectionId="2"/>
  <cacheFields count="2">
    <cacheField name="[Measures].[Sum of Annual Salary]" caption="Sum of Annual Salary" numFmtId="0" hierarchy="30" level="32767"/>
    <cacheField name="[mmmm].[Department].[Department]" caption="Department" numFmtId="0" hierarchy="7" level="1">
      <sharedItems containsSemiMixedTypes="0" containsNonDate="0" containsString="0"/>
    </cacheField>
  </cacheFields>
  <cacheHierarchies count="39">
    <cacheHierarchy uniqueName="[mmmm].[ID]" caption="ID" attribute="1" defaultMemberUniqueName="[mmmm].[ID].[All]" allUniqueName="[mmmm].[ID].[All]" dimensionUniqueName="[mmmm]" displayFolder="" count="2" memberValueDatatype="20" unbalanced="0"/>
    <cacheHierarchy uniqueName="[mmmm].[First Name]" caption="First Name" attribute="1" defaultMemberUniqueName="[mmmm].[First Name].[All]" allUniqueName="[mmmm].[First Name].[All]" dimensionUniqueName="[mmmm]" displayFolder="" count="0" memberValueDatatype="130" unbalanced="0"/>
    <cacheHierarchy uniqueName="[mmmm].[Last Name]" caption="Last Name" attribute="1" defaultMemberUniqueName="[mmmm].[Last Name].[All]" allUniqueName="[mmmm].[Last Name].[All]" dimensionUniqueName="[mmmm]" displayFolder="" count="0" memberValueDatatype="130" unbalanced="0"/>
    <cacheHierarchy uniqueName="[mmmm].[Empolyee name]" caption="Empolyee name" attribute="1" defaultMemberUniqueName="[mmmm].[Empolyee name].[All]" allUniqueName="[mmmm].[Empolyee name].[All]" dimensionUniqueName="[mmmm]" displayFolder="" count="0" memberValueDatatype="130" unbalanced="0"/>
    <cacheHierarchy uniqueName="[mmmm].[Gender]" caption="Gender" attribute="1" defaultMemberUniqueName="[mmmm].[Gender].[All]" allUniqueName="[mmmm].[Gender].[All]" dimensionUniqueName="[mmmm]" displayFolder="" count="0" memberValueDatatype="130" unbalanced="0"/>
    <cacheHierarchy uniqueName="[mmmm].[Start Date]" caption="Start Date" attribute="1" time="1" defaultMemberUniqueName="[mmmm].[Start Date].[All]" allUniqueName="[mmmm].[Start Date].[All]" dimensionUniqueName="[mmmm]" displayFolder="" count="0" memberValueDatatype="7" unbalanced="0"/>
    <cacheHierarchy uniqueName="[mmmm].[Years]" caption="Years" attribute="1" defaultMemberUniqueName="[mmmm].[Years].[All]" allUniqueName="[mmmm].[Years].[All]" dimensionUniqueName="[mmmm]" displayFolder="" count="0" memberValueDatatype="20" unbalanced="0"/>
    <cacheHierarchy uniqueName="[mmmm].[Department]" caption="Department" attribute="1" defaultMemberUniqueName="[mmmm].[Department].[All]" allUniqueName="[mmmm].[Department].[All]" dimensionUniqueName="[mmmm]" displayFolder="" count="2" memberValueDatatype="130" unbalanced="0">
      <fieldsUsage count="2">
        <fieldUsage x="-1"/>
        <fieldUsage x="1"/>
      </fieldsUsage>
    </cacheHierarchy>
    <cacheHierarchy uniqueName="[mmmm].[Country]" caption="Country" attribute="1" defaultMemberUniqueName="[mmmm].[Country].[All]" allUniqueName="[mmmm].[Country].[All]" dimensionUniqueName="[mmmm]" displayFolder="" count="2" memberValueDatatype="130" unbalanced="0"/>
    <cacheHierarchy uniqueName="[mmmm].[Center]" caption="Center" attribute="1" defaultMemberUniqueName="[mmmm].[Center].[All]" allUniqueName="[mmmm].[Center].[All]" dimensionUniqueName="[mmmm]" displayFolder="" count="0" memberValueDatatype="130" unbalanced="0"/>
    <cacheHierarchy uniqueName="[mmmm].[Monthly Salary]" caption="Monthly Salary" attribute="1" defaultMemberUniqueName="[mmmm].[Monthly Salary].[All]" allUniqueName="[mmmm].[Monthly Salary].[All]" dimensionUniqueName="[mmmm]" displayFolder="" count="0" memberValueDatatype="20" unbalanced="0"/>
    <cacheHierarchy uniqueName="[mmmm].[Annual Salary]" caption="Annual Salary" attribute="1" defaultMemberUniqueName="[mmmm].[Annual Salary].[All]" allUniqueName="[mmmm].[Annual Salary].[All]" dimensionUniqueName="[mmmm]" displayFolder="" count="0" memberValueDatatype="20" unbalanced="0"/>
    <cacheHierarchy uniqueName="[mmmm].[Job Rate]" caption="Job Rate" attribute="1" defaultMemberUniqueName="[mmmm].[Job Rate].[All]" allUniqueName="[mmmm].[Job Rate].[All]" dimensionUniqueName="[mmmm]" displayFolder="" count="0" memberValueDatatype="5" unbalanced="0"/>
    <cacheHierarchy uniqueName="[mmmm].[Sick Leaves]" caption="Sick Leaves" attribute="1" defaultMemberUniqueName="[mmmm].[Sick Leaves].[All]" allUniqueName="[mmmm].[Sick Leaves].[All]" dimensionUniqueName="[mmmm]" displayFolder="" count="0" memberValueDatatype="20" unbalanced="0"/>
    <cacheHierarchy uniqueName="[mmmm].[Unpaid Leaves]" caption="Unpaid Leaves" attribute="1" defaultMemberUniqueName="[mmmm].[Unpaid Leaves].[All]" allUniqueName="[mmmm].[Unpaid Leaves].[All]" dimensionUniqueName="[mmmm]" displayFolder="" count="0" memberValueDatatype="20" unbalanced="0"/>
    <cacheHierarchy uniqueName="[mmmm].[Overtime Hours]" caption="Overtime Hours" attribute="1" defaultMemberUniqueName="[mmmm].[Overtime Hours].[All]" allUniqueName="[mmmm].[Overtime Hours].[All]" dimensionUniqueName="[mmmm]" displayFolder="" count="0" memberValueDatatype="20" unbalanced="0"/>
    <cacheHierarchy uniqueName="[mmmm].[Start Date (Year)]" caption="Start Date (Year)" attribute="1" defaultMemberUniqueName="[mmmm].[Start Date (Year)].[All]" allUniqueName="[mmmm].[Start Date (Year)].[All]" dimensionUniqueName="[mmmm]" displayFolder="" count="0" memberValueDatatype="130" unbalanced="0"/>
    <cacheHierarchy uniqueName="[mmmm].[Start Date (Quarter)]" caption="Start Date (Quarter)" attribute="1" defaultMemberUniqueName="[mmmm].[Start Date (Quarter)].[All]" allUniqueName="[mmmm].[Start Date (Quarter)].[All]" dimensionUniqueName="[mmmm]" displayFolder="" count="0" memberValueDatatype="130" unbalanced="0"/>
    <cacheHierarchy uniqueName="[mmmm].[Start Date (Month)]" caption="Start Date (Month)" attribute="1" defaultMemberUniqueName="[mmmm].[Start Date (Month)].[All]" allUniqueName="[mmmm].[Start Date (Month)].[All]" dimensionUniqueName="[mmmm]" displayFolder="" count="0" memberValueDatatype="130" unbalanced="0"/>
    <cacheHierarchy uniqueName="[mmmm].[Start Date (Month Index)]" caption="Start Date (Month Index)" attribute="1" defaultMemberUniqueName="[mmmm].[Start Date (Month Index)].[All]" allUniqueName="[mmmm].[Start Date (Month Index)].[All]" dimensionUniqueName="[mmmm]" displayFolder="" count="0" memberValueDatatype="20" unbalanced="0" hidden="1"/>
    <cacheHierarchy uniqueName="[Measures].[__XL_Count mmmm]" caption="__XL_Count mmmm" measure="1" displayFolder="" measureGroup="mmmm" count="0" hidden="1"/>
    <cacheHierarchy uniqueName="[Measures].[__No measures defined]" caption="__No measures defined" measure="1" displayFolder="" count="0" hidden="1"/>
    <cacheHierarchy uniqueName="[Measures].[Sum of ID]" caption="Sum of ID" measure="1" displayFolder="" measureGroup="mmmm"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mmmm"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mmmm"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mmmm"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mmmm" count="0" hidden="1">
      <extLst>
        <ext xmlns:x15="http://schemas.microsoft.com/office/spreadsheetml/2010/11/main" uri="{B97F6D7D-B522-45F9-BDA1-12C45D357490}">
          <x15:cacheHierarchy aggregatedColumn="10"/>
        </ext>
      </extLst>
    </cacheHierarchy>
    <cacheHierarchy uniqueName="[Measures].[Sum of Unpaid Leaves]" caption="Sum of Unpaid Leaves" measure="1" displayFolder="" measureGroup="mmmm"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mmmm"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mmmm" count="0" hidden="1">
      <extLst>
        <ext xmlns:x15="http://schemas.microsoft.com/office/spreadsheetml/2010/11/main" uri="{B97F6D7D-B522-45F9-BDA1-12C45D357490}">
          <x15:cacheHierarchy aggregatedColumn="15"/>
        </ext>
      </extLst>
    </cacheHierarchy>
    <cacheHierarchy uniqueName="[Measures].[Sum of Annual Salary]" caption="Sum of Annual Salary" measure="1" displayFolder="" measureGroup="mmmm"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Annual Salary]" caption="Average of Annual Salary" measure="1" displayFolder="" measureGroup="mmmm"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mmmm" count="0" hidden="1">
      <extLst>
        <ext xmlns:x15="http://schemas.microsoft.com/office/spreadsheetml/2010/11/main" uri="{B97F6D7D-B522-45F9-BDA1-12C45D357490}">
          <x15:cacheHierarchy aggregatedColumn="12"/>
        </ext>
      </extLst>
    </cacheHierarchy>
    <cacheHierarchy uniqueName="[Measures].[Sum of Years]" caption="Sum of Years" measure="1" displayFolder="" measureGroup="mmmm" count="0" hidden="1">
      <extLst>
        <ext xmlns:x15="http://schemas.microsoft.com/office/spreadsheetml/2010/11/main" uri="{B97F6D7D-B522-45F9-BDA1-12C45D357490}">
          <x15:cacheHierarchy aggregatedColumn="6"/>
        </ext>
      </extLst>
    </cacheHierarchy>
    <cacheHierarchy uniqueName="[Measures].[Average of Sick Leaves]" caption="Average of Sick Leaves" measure="1" displayFolder="" measureGroup="mmmm"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mmmm" count="0" hidden="1">
      <extLst>
        <ext xmlns:x15="http://schemas.microsoft.com/office/spreadsheetml/2010/11/main" uri="{B97F6D7D-B522-45F9-BDA1-12C45D357490}">
          <x15:cacheHierarchy aggregatedColumn="14"/>
        </ext>
      </extLst>
    </cacheHierarchy>
    <cacheHierarchy uniqueName="[Measures].[Average of Job Rate]" caption="Average of Job Rate" measure="1" displayFolder="" measureGroup="mmmm" count="0" hidden="1">
      <extLst>
        <ext xmlns:x15="http://schemas.microsoft.com/office/spreadsheetml/2010/11/main" uri="{B97F6D7D-B522-45F9-BDA1-12C45D357490}">
          <x15:cacheHierarchy aggregatedColumn="12"/>
        </ext>
      </extLst>
    </cacheHierarchy>
    <cacheHierarchy uniqueName="[Measures].[Average of Years]" caption="Average of Years" measure="1" displayFolder="" measureGroup="mmmm" count="0" hidden="1">
      <extLst>
        <ext xmlns:x15="http://schemas.microsoft.com/office/spreadsheetml/2010/11/main" uri="{B97F6D7D-B522-45F9-BDA1-12C45D357490}">
          <x15:cacheHierarchy aggregatedColumn="6"/>
        </ext>
      </extLst>
    </cacheHierarchy>
    <cacheHierarchy uniqueName="[Measures].[Average of ID]" caption="Average of ID" measure="1" displayFolder="" measureGroup="mmmm"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mmm" uniqueName="[mmmm]" caption="mmmm"/>
  </dimensions>
  <measureGroups count="1">
    <measureGroup name="mmmm" caption="mmmm"/>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353687268522" backgroundQuery="1" createdVersion="8" refreshedVersion="8" minRefreshableVersion="3" recordCount="0" supportSubquery="1" supportAdvancedDrill="1" xr:uid="{DAADC981-0FA6-4937-8E30-296ABBCD711B}">
  <cacheSource type="external" connectionId="2"/>
  <cacheFields count="2">
    <cacheField name="[Measures].[Average of Monthly Salary]" caption="Average of Monthly Salary" numFmtId="0" hierarchy="26" level="32767"/>
    <cacheField name="[mmmm].[Department].[Department]" caption="Department" numFmtId="0" hierarchy="7" level="1">
      <sharedItems containsSemiMixedTypes="0" containsNonDate="0" containsString="0"/>
    </cacheField>
  </cacheFields>
  <cacheHierarchies count="39">
    <cacheHierarchy uniqueName="[mmmm].[ID]" caption="ID" attribute="1" defaultMemberUniqueName="[mmmm].[ID].[All]" allUniqueName="[mmmm].[ID].[All]" dimensionUniqueName="[mmmm]" displayFolder="" count="2" memberValueDatatype="20" unbalanced="0"/>
    <cacheHierarchy uniqueName="[mmmm].[First Name]" caption="First Name" attribute="1" defaultMemberUniqueName="[mmmm].[First Name].[All]" allUniqueName="[mmmm].[First Name].[All]" dimensionUniqueName="[mmmm]" displayFolder="" count="0" memberValueDatatype="130" unbalanced="0"/>
    <cacheHierarchy uniqueName="[mmmm].[Last Name]" caption="Last Name" attribute="1" defaultMemberUniqueName="[mmmm].[Last Name].[All]" allUniqueName="[mmmm].[Last Name].[All]" dimensionUniqueName="[mmmm]" displayFolder="" count="0" memberValueDatatype="130" unbalanced="0"/>
    <cacheHierarchy uniqueName="[mmmm].[Empolyee name]" caption="Empolyee name" attribute="1" defaultMemberUniqueName="[mmmm].[Empolyee name].[All]" allUniqueName="[mmmm].[Empolyee name].[All]" dimensionUniqueName="[mmmm]" displayFolder="" count="0" memberValueDatatype="130" unbalanced="0"/>
    <cacheHierarchy uniqueName="[mmmm].[Gender]" caption="Gender" attribute="1" defaultMemberUniqueName="[mmmm].[Gender].[All]" allUniqueName="[mmmm].[Gender].[All]" dimensionUniqueName="[mmmm]" displayFolder="" count="0" memberValueDatatype="130" unbalanced="0"/>
    <cacheHierarchy uniqueName="[mmmm].[Start Date]" caption="Start Date" attribute="1" time="1" defaultMemberUniqueName="[mmmm].[Start Date].[All]" allUniqueName="[mmmm].[Start Date].[All]" dimensionUniqueName="[mmmm]" displayFolder="" count="0" memberValueDatatype="7" unbalanced="0"/>
    <cacheHierarchy uniqueName="[mmmm].[Years]" caption="Years" attribute="1" defaultMemberUniqueName="[mmmm].[Years].[All]" allUniqueName="[mmmm].[Years].[All]" dimensionUniqueName="[mmmm]" displayFolder="" count="0" memberValueDatatype="20" unbalanced="0"/>
    <cacheHierarchy uniqueName="[mmmm].[Department]" caption="Department" attribute="1" defaultMemberUniqueName="[mmmm].[Department].[All]" allUniqueName="[mmmm].[Department].[All]" dimensionUniqueName="[mmmm]" displayFolder="" count="2" memberValueDatatype="130" unbalanced="0">
      <fieldsUsage count="2">
        <fieldUsage x="-1"/>
        <fieldUsage x="1"/>
      </fieldsUsage>
    </cacheHierarchy>
    <cacheHierarchy uniqueName="[mmmm].[Country]" caption="Country" attribute="1" defaultMemberUniqueName="[mmmm].[Country].[All]" allUniqueName="[mmmm].[Country].[All]" dimensionUniqueName="[mmmm]" displayFolder="" count="2" memberValueDatatype="130" unbalanced="0"/>
    <cacheHierarchy uniqueName="[mmmm].[Center]" caption="Center" attribute="1" defaultMemberUniqueName="[mmmm].[Center].[All]" allUniqueName="[mmmm].[Center].[All]" dimensionUniqueName="[mmmm]" displayFolder="" count="0" memberValueDatatype="130" unbalanced="0"/>
    <cacheHierarchy uniqueName="[mmmm].[Monthly Salary]" caption="Monthly Salary" attribute="1" defaultMemberUniqueName="[mmmm].[Monthly Salary].[All]" allUniqueName="[mmmm].[Monthly Salary].[All]" dimensionUniqueName="[mmmm]" displayFolder="" count="0" memberValueDatatype="20" unbalanced="0"/>
    <cacheHierarchy uniqueName="[mmmm].[Annual Salary]" caption="Annual Salary" attribute="1" defaultMemberUniqueName="[mmmm].[Annual Salary].[All]" allUniqueName="[mmmm].[Annual Salary].[All]" dimensionUniqueName="[mmmm]" displayFolder="" count="0" memberValueDatatype="20" unbalanced="0"/>
    <cacheHierarchy uniqueName="[mmmm].[Job Rate]" caption="Job Rate" attribute="1" defaultMemberUniqueName="[mmmm].[Job Rate].[All]" allUniqueName="[mmmm].[Job Rate].[All]" dimensionUniqueName="[mmmm]" displayFolder="" count="0" memberValueDatatype="5" unbalanced="0"/>
    <cacheHierarchy uniqueName="[mmmm].[Sick Leaves]" caption="Sick Leaves" attribute="1" defaultMemberUniqueName="[mmmm].[Sick Leaves].[All]" allUniqueName="[mmmm].[Sick Leaves].[All]" dimensionUniqueName="[mmmm]" displayFolder="" count="0" memberValueDatatype="20" unbalanced="0"/>
    <cacheHierarchy uniqueName="[mmmm].[Unpaid Leaves]" caption="Unpaid Leaves" attribute="1" defaultMemberUniqueName="[mmmm].[Unpaid Leaves].[All]" allUniqueName="[mmmm].[Unpaid Leaves].[All]" dimensionUniqueName="[mmmm]" displayFolder="" count="0" memberValueDatatype="20" unbalanced="0"/>
    <cacheHierarchy uniqueName="[mmmm].[Overtime Hours]" caption="Overtime Hours" attribute="1" defaultMemberUniqueName="[mmmm].[Overtime Hours].[All]" allUniqueName="[mmmm].[Overtime Hours].[All]" dimensionUniqueName="[mmmm]" displayFolder="" count="0" memberValueDatatype="20" unbalanced="0"/>
    <cacheHierarchy uniqueName="[mmmm].[Start Date (Year)]" caption="Start Date (Year)" attribute="1" defaultMemberUniqueName="[mmmm].[Start Date (Year)].[All]" allUniqueName="[mmmm].[Start Date (Year)].[All]" dimensionUniqueName="[mmmm]" displayFolder="" count="0" memberValueDatatype="130" unbalanced="0"/>
    <cacheHierarchy uniqueName="[mmmm].[Start Date (Quarter)]" caption="Start Date (Quarter)" attribute="1" defaultMemberUniqueName="[mmmm].[Start Date (Quarter)].[All]" allUniqueName="[mmmm].[Start Date (Quarter)].[All]" dimensionUniqueName="[mmmm]" displayFolder="" count="0" memberValueDatatype="130" unbalanced="0"/>
    <cacheHierarchy uniqueName="[mmmm].[Start Date (Month)]" caption="Start Date (Month)" attribute="1" defaultMemberUniqueName="[mmmm].[Start Date (Month)].[All]" allUniqueName="[mmmm].[Start Date (Month)].[All]" dimensionUniqueName="[mmmm]" displayFolder="" count="0" memberValueDatatype="130" unbalanced="0"/>
    <cacheHierarchy uniqueName="[mmmm].[Start Date (Month Index)]" caption="Start Date (Month Index)" attribute="1" defaultMemberUniqueName="[mmmm].[Start Date (Month Index)].[All]" allUniqueName="[mmmm].[Start Date (Month Index)].[All]" dimensionUniqueName="[mmmm]" displayFolder="" count="0" memberValueDatatype="20" unbalanced="0" hidden="1"/>
    <cacheHierarchy uniqueName="[Measures].[__XL_Count mmmm]" caption="__XL_Count mmmm" measure="1" displayFolder="" measureGroup="mmmm" count="0" hidden="1"/>
    <cacheHierarchy uniqueName="[Measures].[__No measures defined]" caption="__No measures defined" measure="1" displayFolder="" count="0" hidden="1"/>
    <cacheHierarchy uniqueName="[Measures].[Sum of ID]" caption="Sum of ID" measure="1" displayFolder="" measureGroup="mmmm"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mmmm"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mmmm"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mmmm"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mmmm"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Unpaid Leaves]" caption="Sum of Unpaid Leaves" measure="1" displayFolder="" measureGroup="mmmm"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mmmm"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mmmm" count="0" hidden="1">
      <extLst>
        <ext xmlns:x15="http://schemas.microsoft.com/office/spreadsheetml/2010/11/main" uri="{B97F6D7D-B522-45F9-BDA1-12C45D357490}">
          <x15:cacheHierarchy aggregatedColumn="15"/>
        </ext>
      </extLst>
    </cacheHierarchy>
    <cacheHierarchy uniqueName="[Measures].[Sum of Annual Salary]" caption="Sum of Annual Salary" measure="1" displayFolder="" measureGroup="mmmm" count="0" hidden="1">
      <extLst>
        <ext xmlns:x15="http://schemas.microsoft.com/office/spreadsheetml/2010/11/main" uri="{B97F6D7D-B522-45F9-BDA1-12C45D357490}">
          <x15:cacheHierarchy aggregatedColumn="11"/>
        </ext>
      </extLst>
    </cacheHierarchy>
    <cacheHierarchy uniqueName="[Measures].[Average of Annual Salary]" caption="Average of Annual Salary" measure="1" displayFolder="" measureGroup="mmmm"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mmmm" count="0" hidden="1">
      <extLst>
        <ext xmlns:x15="http://schemas.microsoft.com/office/spreadsheetml/2010/11/main" uri="{B97F6D7D-B522-45F9-BDA1-12C45D357490}">
          <x15:cacheHierarchy aggregatedColumn="12"/>
        </ext>
      </extLst>
    </cacheHierarchy>
    <cacheHierarchy uniqueName="[Measures].[Sum of Years]" caption="Sum of Years" measure="1" displayFolder="" measureGroup="mmmm" count="0" hidden="1">
      <extLst>
        <ext xmlns:x15="http://schemas.microsoft.com/office/spreadsheetml/2010/11/main" uri="{B97F6D7D-B522-45F9-BDA1-12C45D357490}">
          <x15:cacheHierarchy aggregatedColumn="6"/>
        </ext>
      </extLst>
    </cacheHierarchy>
    <cacheHierarchy uniqueName="[Measures].[Average of Sick Leaves]" caption="Average of Sick Leaves" measure="1" displayFolder="" measureGroup="mmmm"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mmmm" count="0" hidden="1">
      <extLst>
        <ext xmlns:x15="http://schemas.microsoft.com/office/spreadsheetml/2010/11/main" uri="{B97F6D7D-B522-45F9-BDA1-12C45D357490}">
          <x15:cacheHierarchy aggregatedColumn="14"/>
        </ext>
      </extLst>
    </cacheHierarchy>
    <cacheHierarchy uniqueName="[Measures].[Average of Job Rate]" caption="Average of Job Rate" measure="1" displayFolder="" measureGroup="mmmm" count="0" hidden="1">
      <extLst>
        <ext xmlns:x15="http://schemas.microsoft.com/office/spreadsheetml/2010/11/main" uri="{B97F6D7D-B522-45F9-BDA1-12C45D357490}">
          <x15:cacheHierarchy aggregatedColumn="12"/>
        </ext>
      </extLst>
    </cacheHierarchy>
    <cacheHierarchy uniqueName="[Measures].[Average of Years]" caption="Average of Years" measure="1" displayFolder="" measureGroup="mmmm" count="0" hidden="1">
      <extLst>
        <ext xmlns:x15="http://schemas.microsoft.com/office/spreadsheetml/2010/11/main" uri="{B97F6D7D-B522-45F9-BDA1-12C45D357490}">
          <x15:cacheHierarchy aggregatedColumn="6"/>
        </ext>
      </extLst>
    </cacheHierarchy>
    <cacheHierarchy uniqueName="[Measures].[Average of ID]" caption="Average of ID" measure="1" displayFolder="" measureGroup="mmmm"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mmm" uniqueName="[mmmm]" caption="mmmm"/>
  </dimensions>
  <measureGroups count="1">
    <measureGroup name="mmmm" caption="mmmm"/>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353687615738" backgroundQuery="1" createdVersion="8" refreshedVersion="8" minRefreshableVersion="3" recordCount="0" supportSubquery="1" supportAdvancedDrill="1" xr:uid="{C797D4BC-3F37-49CA-8BF5-9986EF7C70AD}">
  <cacheSource type="external" connectionId="2"/>
  <cacheFields count="2">
    <cacheField name="[Measures].[Average of Annual Salary]" caption="Average of Annual Salary" numFmtId="0" hierarchy="31" level="32767"/>
    <cacheField name="[mmmm].[Department].[Department]" caption="Department" numFmtId="0" hierarchy="7" level="1">
      <sharedItems containsSemiMixedTypes="0" containsNonDate="0" containsString="0"/>
    </cacheField>
  </cacheFields>
  <cacheHierarchies count="39">
    <cacheHierarchy uniqueName="[mmmm].[ID]" caption="ID" attribute="1" defaultMemberUniqueName="[mmmm].[ID].[All]" allUniqueName="[mmmm].[ID].[All]" dimensionUniqueName="[mmmm]" displayFolder="" count="2" memberValueDatatype="20" unbalanced="0"/>
    <cacheHierarchy uniqueName="[mmmm].[First Name]" caption="First Name" attribute="1" defaultMemberUniqueName="[mmmm].[First Name].[All]" allUniqueName="[mmmm].[First Name].[All]" dimensionUniqueName="[mmmm]" displayFolder="" count="0" memberValueDatatype="130" unbalanced="0"/>
    <cacheHierarchy uniqueName="[mmmm].[Last Name]" caption="Last Name" attribute="1" defaultMemberUniqueName="[mmmm].[Last Name].[All]" allUniqueName="[mmmm].[Last Name].[All]" dimensionUniqueName="[mmmm]" displayFolder="" count="0" memberValueDatatype="130" unbalanced="0"/>
    <cacheHierarchy uniqueName="[mmmm].[Empolyee name]" caption="Empolyee name" attribute="1" defaultMemberUniqueName="[mmmm].[Empolyee name].[All]" allUniqueName="[mmmm].[Empolyee name].[All]" dimensionUniqueName="[mmmm]" displayFolder="" count="0" memberValueDatatype="130" unbalanced="0"/>
    <cacheHierarchy uniqueName="[mmmm].[Gender]" caption="Gender" attribute="1" defaultMemberUniqueName="[mmmm].[Gender].[All]" allUniqueName="[mmmm].[Gender].[All]" dimensionUniqueName="[mmmm]" displayFolder="" count="0" memberValueDatatype="130" unbalanced="0"/>
    <cacheHierarchy uniqueName="[mmmm].[Start Date]" caption="Start Date" attribute="1" time="1" defaultMemberUniqueName="[mmmm].[Start Date].[All]" allUniqueName="[mmmm].[Start Date].[All]" dimensionUniqueName="[mmmm]" displayFolder="" count="0" memberValueDatatype="7" unbalanced="0"/>
    <cacheHierarchy uniqueName="[mmmm].[Years]" caption="Years" attribute="1" defaultMemberUniqueName="[mmmm].[Years].[All]" allUniqueName="[mmmm].[Years].[All]" dimensionUniqueName="[mmmm]" displayFolder="" count="0" memberValueDatatype="20" unbalanced="0"/>
    <cacheHierarchy uniqueName="[mmmm].[Department]" caption="Department" attribute="1" defaultMemberUniqueName="[mmmm].[Department].[All]" allUniqueName="[mmmm].[Department].[All]" dimensionUniqueName="[mmmm]" displayFolder="" count="2" memberValueDatatype="130" unbalanced="0">
      <fieldsUsage count="2">
        <fieldUsage x="-1"/>
        <fieldUsage x="1"/>
      </fieldsUsage>
    </cacheHierarchy>
    <cacheHierarchy uniqueName="[mmmm].[Country]" caption="Country" attribute="1" defaultMemberUniqueName="[mmmm].[Country].[All]" allUniqueName="[mmmm].[Country].[All]" dimensionUniqueName="[mmmm]" displayFolder="" count="2" memberValueDatatype="130" unbalanced="0"/>
    <cacheHierarchy uniqueName="[mmmm].[Center]" caption="Center" attribute="1" defaultMemberUniqueName="[mmmm].[Center].[All]" allUniqueName="[mmmm].[Center].[All]" dimensionUniqueName="[mmmm]" displayFolder="" count="0" memberValueDatatype="130" unbalanced="0"/>
    <cacheHierarchy uniqueName="[mmmm].[Monthly Salary]" caption="Monthly Salary" attribute="1" defaultMemberUniqueName="[mmmm].[Monthly Salary].[All]" allUniqueName="[mmmm].[Monthly Salary].[All]" dimensionUniqueName="[mmmm]" displayFolder="" count="0" memberValueDatatype="20" unbalanced="0"/>
    <cacheHierarchy uniqueName="[mmmm].[Annual Salary]" caption="Annual Salary" attribute="1" defaultMemberUniqueName="[mmmm].[Annual Salary].[All]" allUniqueName="[mmmm].[Annual Salary].[All]" dimensionUniqueName="[mmmm]" displayFolder="" count="0" memberValueDatatype="20" unbalanced="0"/>
    <cacheHierarchy uniqueName="[mmmm].[Job Rate]" caption="Job Rate" attribute="1" defaultMemberUniqueName="[mmmm].[Job Rate].[All]" allUniqueName="[mmmm].[Job Rate].[All]" dimensionUniqueName="[mmmm]" displayFolder="" count="0" memberValueDatatype="5" unbalanced="0"/>
    <cacheHierarchy uniqueName="[mmmm].[Sick Leaves]" caption="Sick Leaves" attribute="1" defaultMemberUniqueName="[mmmm].[Sick Leaves].[All]" allUniqueName="[mmmm].[Sick Leaves].[All]" dimensionUniqueName="[mmmm]" displayFolder="" count="0" memberValueDatatype="20" unbalanced="0"/>
    <cacheHierarchy uniqueName="[mmmm].[Unpaid Leaves]" caption="Unpaid Leaves" attribute="1" defaultMemberUniqueName="[mmmm].[Unpaid Leaves].[All]" allUniqueName="[mmmm].[Unpaid Leaves].[All]" dimensionUniqueName="[mmmm]" displayFolder="" count="0" memberValueDatatype="20" unbalanced="0"/>
    <cacheHierarchy uniqueName="[mmmm].[Overtime Hours]" caption="Overtime Hours" attribute="1" defaultMemberUniqueName="[mmmm].[Overtime Hours].[All]" allUniqueName="[mmmm].[Overtime Hours].[All]" dimensionUniqueName="[mmmm]" displayFolder="" count="0" memberValueDatatype="20" unbalanced="0"/>
    <cacheHierarchy uniqueName="[mmmm].[Start Date (Year)]" caption="Start Date (Year)" attribute="1" defaultMemberUniqueName="[mmmm].[Start Date (Year)].[All]" allUniqueName="[mmmm].[Start Date (Year)].[All]" dimensionUniqueName="[mmmm]" displayFolder="" count="0" memberValueDatatype="130" unbalanced="0"/>
    <cacheHierarchy uniqueName="[mmmm].[Start Date (Quarter)]" caption="Start Date (Quarter)" attribute="1" defaultMemberUniqueName="[mmmm].[Start Date (Quarter)].[All]" allUniqueName="[mmmm].[Start Date (Quarter)].[All]" dimensionUniqueName="[mmmm]" displayFolder="" count="0" memberValueDatatype="130" unbalanced="0"/>
    <cacheHierarchy uniqueName="[mmmm].[Start Date (Month)]" caption="Start Date (Month)" attribute="1" defaultMemberUniqueName="[mmmm].[Start Date (Month)].[All]" allUniqueName="[mmmm].[Start Date (Month)].[All]" dimensionUniqueName="[mmmm]" displayFolder="" count="0" memberValueDatatype="130" unbalanced="0"/>
    <cacheHierarchy uniqueName="[mmmm].[Start Date (Month Index)]" caption="Start Date (Month Index)" attribute="1" defaultMemberUniqueName="[mmmm].[Start Date (Month Index)].[All]" allUniqueName="[mmmm].[Start Date (Month Index)].[All]" dimensionUniqueName="[mmmm]" displayFolder="" count="0" memberValueDatatype="20" unbalanced="0" hidden="1"/>
    <cacheHierarchy uniqueName="[Measures].[__XL_Count mmmm]" caption="__XL_Count mmmm" measure="1" displayFolder="" measureGroup="mmmm" count="0" hidden="1"/>
    <cacheHierarchy uniqueName="[Measures].[__No measures defined]" caption="__No measures defined" measure="1" displayFolder="" count="0" hidden="1"/>
    <cacheHierarchy uniqueName="[Measures].[Sum of ID]" caption="Sum of ID" measure="1" displayFolder="" measureGroup="mmmm"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mmmm"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mmmm"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mmmm"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mmmm" count="0" hidden="1">
      <extLst>
        <ext xmlns:x15="http://schemas.microsoft.com/office/spreadsheetml/2010/11/main" uri="{B97F6D7D-B522-45F9-BDA1-12C45D357490}">
          <x15:cacheHierarchy aggregatedColumn="10"/>
        </ext>
      </extLst>
    </cacheHierarchy>
    <cacheHierarchy uniqueName="[Measures].[Sum of Unpaid Leaves]" caption="Sum of Unpaid Leaves" measure="1" displayFolder="" measureGroup="mmmm"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mmmm"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mmmm" count="0" hidden="1">
      <extLst>
        <ext xmlns:x15="http://schemas.microsoft.com/office/spreadsheetml/2010/11/main" uri="{B97F6D7D-B522-45F9-BDA1-12C45D357490}">
          <x15:cacheHierarchy aggregatedColumn="15"/>
        </ext>
      </extLst>
    </cacheHierarchy>
    <cacheHierarchy uniqueName="[Measures].[Sum of Annual Salary]" caption="Sum of Annual Salary" measure="1" displayFolder="" measureGroup="mmmm" count="0" hidden="1">
      <extLst>
        <ext xmlns:x15="http://schemas.microsoft.com/office/spreadsheetml/2010/11/main" uri="{B97F6D7D-B522-45F9-BDA1-12C45D357490}">
          <x15:cacheHierarchy aggregatedColumn="11"/>
        </ext>
      </extLst>
    </cacheHierarchy>
    <cacheHierarchy uniqueName="[Measures].[Average of Annual Salary]" caption="Average of Annual Salary" measure="1" displayFolder="" measureGroup="mmmm"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Job Rate]" caption="Sum of Job Rate" measure="1" displayFolder="" measureGroup="mmmm" count="0" hidden="1">
      <extLst>
        <ext xmlns:x15="http://schemas.microsoft.com/office/spreadsheetml/2010/11/main" uri="{B97F6D7D-B522-45F9-BDA1-12C45D357490}">
          <x15:cacheHierarchy aggregatedColumn="12"/>
        </ext>
      </extLst>
    </cacheHierarchy>
    <cacheHierarchy uniqueName="[Measures].[Sum of Years]" caption="Sum of Years" measure="1" displayFolder="" measureGroup="mmmm" count="0" hidden="1">
      <extLst>
        <ext xmlns:x15="http://schemas.microsoft.com/office/spreadsheetml/2010/11/main" uri="{B97F6D7D-B522-45F9-BDA1-12C45D357490}">
          <x15:cacheHierarchy aggregatedColumn="6"/>
        </ext>
      </extLst>
    </cacheHierarchy>
    <cacheHierarchy uniqueName="[Measures].[Average of Sick Leaves]" caption="Average of Sick Leaves" measure="1" displayFolder="" measureGroup="mmmm"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mmmm" count="0" hidden="1">
      <extLst>
        <ext xmlns:x15="http://schemas.microsoft.com/office/spreadsheetml/2010/11/main" uri="{B97F6D7D-B522-45F9-BDA1-12C45D357490}">
          <x15:cacheHierarchy aggregatedColumn="14"/>
        </ext>
      </extLst>
    </cacheHierarchy>
    <cacheHierarchy uniqueName="[Measures].[Average of Job Rate]" caption="Average of Job Rate" measure="1" displayFolder="" measureGroup="mmmm" count="0" hidden="1">
      <extLst>
        <ext xmlns:x15="http://schemas.microsoft.com/office/spreadsheetml/2010/11/main" uri="{B97F6D7D-B522-45F9-BDA1-12C45D357490}">
          <x15:cacheHierarchy aggregatedColumn="12"/>
        </ext>
      </extLst>
    </cacheHierarchy>
    <cacheHierarchy uniqueName="[Measures].[Average of Years]" caption="Average of Years" measure="1" displayFolder="" measureGroup="mmmm" count="0" hidden="1">
      <extLst>
        <ext xmlns:x15="http://schemas.microsoft.com/office/spreadsheetml/2010/11/main" uri="{B97F6D7D-B522-45F9-BDA1-12C45D357490}">
          <x15:cacheHierarchy aggregatedColumn="6"/>
        </ext>
      </extLst>
    </cacheHierarchy>
    <cacheHierarchy uniqueName="[Measures].[Average of ID]" caption="Average of ID" measure="1" displayFolder="" measureGroup="mmmm"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mmm" uniqueName="[mmmm]" caption="mmmm"/>
  </dimensions>
  <measureGroups count="1">
    <measureGroup name="mmmm" caption="mmmm"/>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353688541669" backgroundQuery="1" createdVersion="8" refreshedVersion="8" minRefreshableVersion="3" recordCount="0" supportSubquery="1" supportAdvancedDrill="1" xr:uid="{9DE11906-6B48-4B56-BE41-09F0D1A7E486}">
  <cacheSource type="external" connectionId="2"/>
  <cacheFields count="3">
    <cacheField name="[mmmm].[Gender].[Gender]" caption="Gender" numFmtId="0" hierarchy="4" level="1">
      <sharedItems count="2">
        <s v="Female"/>
        <s v="Male"/>
      </sharedItems>
    </cacheField>
    <cacheField name="[Measures].[Sum of ID]" caption="Sum of ID" numFmtId="0" hierarchy="22" level="32767"/>
    <cacheField name="[mmmm].[Department].[Department]" caption="Department" numFmtId="0" hierarchy="7" level="1">
      <sharedItems containsSemiMixedTypes="0" containsNonDate="0" containsString="0"/>
    </cacheField>
  </cacheFields>
  <cacheHierarchies count="39">
    <cacheHierarchy uniqueName="[mmmm].[ID]" caption="ID" attribute="1" defaultMemberUniqueName="[mmmm].[ID].[All]" allUniqueName="[mmmm].[ID].[All]" dimensionUniqueName="[mmmm]" displayFolder="" count="2" memberValueDatatype="20" unbalanced="0"/>
    <cacheHierarchy uniqueName="[mmmm].[First Name]" caption="First Name" attribute="1" defaultMemberUniqueName="[mmmm].[First Name].[All]" allUniqueName="[mmmm].[First Name].[All]" dimensionUniqueName="[mmmm]" displayFolder="" count="0" memberValueDatatype="130" unbalanced="0"/>
    <cacheHierarchy uniqueName="[mmmm].[Last Name]" caption="Last Name" attribute="1" defaultMemberUniqueName="[mmmm].[Last Name].[All]" allUniqueName="[mmmm].[Last Name].[All]" dimensionUniqueName="[mmmm]" displayFolder="" count="0" memberValueDatatype="130" unbalanced="0"/>
    <cacheHierarchy uniqueName="[mmmm].[Empolyee name]" caption="Empolyee name" attribute="1" defaultMemberUniqueName="[mmmm].[Empolyee name].[All]" allUniqueName="[mmmm].[Empolyee name].[All]" dimensionUniqueName="[mmmm]" displayFolder="" count="0" memberValueDatatype="130" unbalanced="0"/>
    <cacheHierarchy uniqueName="[mmmm].[Gender]" caption="Gender" attribute="1" defaultMemberUniqueName="[mmmm].[Gender].[All]" allUniqueName="[mmmm].[Gender].[All]" dimensionUniqueName="[mmmm]" displayFolder="" count="2" memberValueDatatype="130" unbalanced="0">
      <fieldsUsage count="2">
        <fieldUsage x="-1"/>
        <fieldUsage x="0"/>
      </fieldsUsage>
    </cacheHierarchy>
    <cacheHierarchy uniqueName="[mmmm].[Start Date]" caption="Start Date" attribute="1" time="1" defaultMemberUniqueName="[mmmm].[Start Date].[All]" allUniqueName="[mmmm].[Start Date].[All]" dimensionUniqueName="[mmmm]" displayFolder="" count="0" memberValueDatatype="7" unbalanced="0"/>
    <cacheHierarchy uniqueName="[mmmm].[Years]" caption="Years" attribute="1" defaultMemberUniqueName="[mmmm].[Years].[All]" allUniqueName="[mmmm].[Years].[All]" dimensionUniqueName="[mmmm]" displayFolder="" count="0" memberValueDatatype="20" unbalanced="0"/>
    <cacheHierarchy uniqueName="[mmmm].[Department]" caption="Department" attribute="1" defaultMemberUniqueName="[mmmm].[Department].[All]" allUniqueName="[mmmm].[Department].[All]" dimensionUniqueName="[mmmm]" displayFolder="" count="2" memberValueDatatype="130" unbalanced="0">
      <fieldsUsage count="2">
        <fieldUsage x="-1"/>
        <fieldUsage x="2"/>
      </fieldsUsage>
    </cacheHierarchy>
    <cacheHierarchy uniqueName="[mmmm].[Country]" caption="Country" attribute="1" defaultMemberUniqueName="[mmmm].[Country].[All]" allUniqueName="[mmmm].[Country].[All]" dimensionUniqueName="[mmmm]" displayFolder="" count="2" memberValueDatatype="130" unbalanced="0"/>
    <cacheHierarchy uniqueName="[mmmm].[Center]" caption="Center" attribute="1" defaultMemberUniqueName="[mmmm].[Center].[All]" allUniqueName="[mmmm].[Center].[All]" dimensionUniqueName="[mmmm]" displayFolder="" count="0" memberValueDatatype="130" unbalanced="0"/>
    <cacheHierarchy uniqueName="[mmmm].[Monthly Salary]" caption="Monthly Salary" attribute="1" defaultMemberUniqueName="[mmmm].[Monthly Salary].[All]" allUniqueName="[mmmm].[Monthly Salary].[All]" dimensionUniqueName="[mmmm]" displayFolder="" count="0" memberValueDatatype="20" unbalanced="0"/>
    <cacheHierarchy uniqueName="[mmmm].[Annual Salary]" caption="Annual Salary" attribute="1" defaultMemberUniqueName="[mmmm].[Annual Salary].[All]" allUniqueName="[mmmm].[Annual Salary].[All]" dimensionUniqueName="[mmmm]" displayFolder="" count="0" memberValueDatatype="20" unbalanced="0"/>
    <cacheHierarchy uniqueName="[mmmm].[Job Rate]" caption="Job Rate" attribute="1" defaultMemberUniqueName="[mmmm].[Job Rate].[All]" allUniqueName="[mmmm].[Job Rate].[All]" dimensionUniqueName="[mmmm]" displayFolder="" count="0" memberValueDatatype="5" unbalanced="0"/>
    <cacheHierarchy uniqueName="[mmmm].[Sick Leaves]" caption="Sick Leaves" attribute="1" defaultMemberUniqueName="[mmmm].[Sick Leaves].[All]" allUniqueName="[mmmm].[Sick Leaves].[All]" dimensionUniqueName="[mmmm]" displayFolder="" count="0" memberValueDatatype="20" unbalanced="0"/>
    <cacheHierarchy uniqueName="[mmmm].[Unpaid Leaves]" caption="Unpaid Leaves" attribute="1" defaultMemberUniqueName="[mmmm].[Unpaid Leaves].[All]" allUniqueName="[mmmm].[Unpaid Leaves].[All]" dimensionUniqueName="[mmmm]" displayFolder="" count="0" memberValueDatatype="20" unbalanced="0"/>
    <cacheHierarchy uniqueName="[mmmm].[Overtime Hours]" caption="Overtime Hours" attribute="1" defaultMemberUniqueName="[mmmm].[Overtime Hours].[All]" allUniqueName="[mmmm].[Overtime Hours].[All]" dimensionUniqueName="[mmmm]" displayFolder="" count="0" memberValueDatatype="20" unbalanced="0"/>
    <cacheHierarchy uniqueName="[mmmm].[Start Date (Year)]" caption="Start Date (Year)" attribute="1" defaultMemberUniqueName="[mmmm].[Start Date (Year)].[All]" allUniqueName="[mmmm].[Start Date (Year)].[All]" dimensionUniqueName="[mmmm]" displayFolder="" count="0" memberValueDatatype="130" unbalanced="0"/>
    <cacheHierarchy uniqueName="[mmmm].[Start Date (Quarter)]" caption="Start Date (Quarter)" attribute="1" defaultMemberUniqueName="[mmmm].[Start Date (Quarter)].[All]" allUniqueName="[mmmm].[Start Date (Quarter)].[All]" dimensionUniqueName="[mmmm]" displayFolder="" count="0" memberValueDatatype="130" unbalanced="0"/>
    <cacheHierarchy uniqueName="[mmmm].[Start Date (Month)]" caption="Start Date (Month)" attribute="1" defaultMemberUniqueName="[mmmm].[Start Date (Month)].[All]" allUniqueName="[mmmm].[Start Date (Month)].[All]" dimensionUniqueName="[mmmm]" displayFolder="" count="0" memberValueDatatype="130" unbalanced="0"/>
    <cacheHierarchy uniqueName="[mmmm].[Start Date (Month Index)]" caption="Start Date (Month Index)" attribute="1" defaultMemberUniqueName="[mmmm].[Start Date (Month Index)].[All]" allUniqueName="[mmmm].[Start Date (Month Index)].[All]" dimensionUniqueName="[mmmm]" displayFolder="" count="0" memberValueDatatype="20" unbalanced="0" hidden="1"/>
    <cacheHierarchy uniqueName="[Measures].[__XL_Count mmmm]" caption="__XL_Count mmmm" measure="1" displayFolder="" measureGroup="mmmm" count="0" hidden="1"/>
    <cacheHierarchy uniqueName="[Measures].[__No measures defined]" caption="__No measures defined" measure="1" displayFolder="" count="0" hidden="1"/>
    <cacheHierarchy uniqueName="[Measures].[Sum of ID]" caption="Sum of ID" measure="1" displayFolder="" measureGroup="mmmm"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ID]" caption="Count of ID" measure="1" displayFolder="" measureGroup="mmmm"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mmmm"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mmmm"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mmmm" count="0" hidden="1">
      <extLst>
        <ext xmlns:x15="http://schemas.microsoft.com/office/spreadsheetml/2010/11/main" uri="{B97F6D7D-B522-45F9-BDA1-12C45D357490}">
          <x15:cacheHierarchy aggregatedColumn="10"/>
        </ext>
      </extLst>
    </cacheHierarchy>
    <cacheHierarchy uniqueName="[Measures].[Sum of Unpaid Leaves]" caption="Sum of Unpaid Leaves" measure="1" displayFolder="" measureGroup="mmmm"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mmmm"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mmmm" count="0" hidden="1">
      <extLst>
        <ext xmlns:x15="http://schemas.microsoft.com/office/spreadsheetml/2010/11/main" uri="{B97F6D7D-B522-45F9-BDA1-12C45D357490}">
          <x15:cacheHierarchy aggregatedColumn="15"/>
        </ext>
      </extLst>
    </cacheHierarchy>
    <cacheHierarchy uniqueName="[Measures].[Sum of Annual Salary]" caption="Sum of Annual Salary" measure="1" displayFolder="" measureGroup="mmmm" count="0" hidden="1">
      <extLst>
        <ext xmlns:x15="http://schemas.microsoft.com/office/spreadsheetml/2010/11/main" uri="{B97F6D7D-B522-45F9-BDA1-12C45D357490}">
          <x15:cacheHierarchy aggregatedColumn="11"/>
        </ext>
      </extLst>
    </cacheHierarchy>
    <cacheHierarchy uniqueName="[Measures].[Average of Annual Salary]" caption="Average of Annual Salary" measure="1" displayFolder="" measureGroup="mmmm"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mmmm" count="0" hidden="1">
      <extLst>
        <ext xmlns:x15="http://schemas.microsoft.com/office/spreadsheetml/2010/11/main" uri="{B97F6D7D-B522-45F9-BDA1-12C45D357490}">
          <x15:cacheHierarchy aggregatedColumn="12"/>
        </ext>
      </extLst>
    </cacheHierarchy>
    <cacheHierarchy uniqueName="[Measures].[Sum of Years]" caption="Sum of Years" measure="1" displayFolder="" measureGroup="mmmm" count="0" hidden="1">
      <extLst>
        <ext xmlns:x15="http://schemas.microsoft.com/office/spreadsheetml/2010/11/main" uri="{B97F6D7D-B522-45F9-BDA1-12C45D357490}">
          <x15:cacheHierarchy aggregatedColumn="6"/>
        </ext>
      </extLst>
    </cacheHierarchy>
    <cacheHierarchy uniqueName="[Measures].[Average of Sick Leaves]" caption="Average of Sick Leaves" measure="1" displayFolder="" measureGroup="mmmm"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mmmm" count="0" hidden="1">
      <extLst>
        <ext xmlns:x15="http://schemas.microsoft.com/office/spreadsheetml/2010/11/main" uri="{B97F6D7D-B522-45F9-BDA1-12C45D357490}">
          <x15:cacheHierarchy aggregatedColumn="14"/>
        </ext>
      </extLst>
    </cacheHierarchy>
    <cacheHierarchy uniqueName="[Measures].[Average of Job Rate]" caption="Average of Job Rate" measure="1" displayFolder="" measureGroup="mmmm" count="0" hidden="1">
      <extLst>
        <ext xmlns:x15="http://schemas.microsoft.com/office/spreadsheetml/2010/11/main" uri="{B97F6D7D-B522-45F9-BDA1-12C45D357490}">
          <x15:cacheHierarchy aggregatedColumn="12"/>
        </ext>
      </extLst>
    </cacheHierarchy>
    <cacheHierarchy uniqueName="[Measures].[Average of Years]" caption="Average of Years" measure="1" displayFolder="" measureGroup="mmmm" count="0" hidden="1">
      <extLst>
        <ext xmlns:x15="http://schemas.microsoft.com/office/spreadsheetml/2010/11/main" uri="{B97F6D7D-B522-45F9-BDA1-12C45D357490}">
          <x15:cacheHierarchy aggregatedColumn="6"/>
        </ext>
      </extLst>
    </cacheHierarchy>
    <cacheHierarchy uniqueName="[Measures].[Average of ID]" caption="Average of ID" measure="1" displayFolder="" measureGroup="mmmm"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mmm" uniqueName="[mmmm]" caption="mmmm"/>
  </dimensions>
  <measureGroups count="1">
    <measureGroup name="mmmm" caption="mmmm"/>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353689351854" backgroundQuery="1" createdVersion="8" refreshedVersion="8" minRefreshableVersion="3" recordCount="0" supportSubquery="1" supportAdvancedDrill="1" xr:uid="{1E1C8B74-8ECC-434C-8BCC-EE74CD783EA1}">
  <cacheSource type="external" connectionId="2"/>
  <cacheFields count="3">
    <cacheField name="[Measures].[Sum of Years]" caption="Sum of Years" numFmtId="0" hierarchy="33" level="32767"/>
    <cacheField name="[mmmm].[Gender].[Gender]" caption="Gender" numFmtId="0" hierarchy="4" level="1">
      <sharedItems count="2">
        <s v="Female"/>
        <s v="Male"/>
      </sharedItems>
    </cacheField>
    <cacheField name="[mmmm].[Department].[Department]" caption="Department" numFmtId="0" hierarchy="7" level="1">
      <sharedItems containsSemiMixedTypes="0" containsNonDate="0" containsString="0"/>
    </cacheField>
  </cacheFields>
  <cacheHierarchies count="39">
    <cacheHierarchy uniqueName="[mmmm].[ID]" caption="ID" attribute="1" defaultMemberUniqueName="[mmmm].[ID].[All]" allUniqueName="[mmmm].[ID].[All]" dimensionUniqueName="[mmmm]" displayFolder="" count="2" memberValueDatatype="20" unbalanced="0"/>
    <cacheHierarchy uniqueName="[mmmm].[First Name]" caption="First Name" attribute="1" defaultMemberUniqueName="[mmmm].[First Name].[All]" allUniqueName="[mmmm].[First Name].[All]" dimensionUniqueName="[mmmm]" displayFolder="" count="0" memberValueDatatype="130" unbalanced="0"/>
    <cacheHierarchy uniqueName="[mmmm].[Last Name]" caption="Last Name" attribute="1" defaultMemberUniqueName="[mmmm].[Last Name].[All]" allUniqueName="[mmmm].[Last Name].[All]" dimensionUniqueName="[mmmm]" displayFolder="" count="0" memberValueDatatype="130" unbalanced="0"/>
    <cacheHierarchy uniqueName="[mmmm].[Empolyee name]" caption="Empolyee name" attribute="1" defaultMemberUniqueName="[mmmm].[Empolyee name].[All]" allUniqueName="[mmmm].[Empolyee name].[All]" dimensionUniqueName="[mmmm]" displayFolder="" count="0" memberValueDatatype="130" unbalanced="0"/>
    <cacheHierarchy uniqueName="[mmmm].[Gender]" caption="Gender" attribute="1" defaultMemberUniqueName="[mmmm].[Gender].[All]" allUniqueName="[mmmm].[Gender].[All]" dimensionUniqueName="[mmmm]" displayFolder="" count="2" memberValueDatatype="130" unbalanced="0">
      <fieldsUsage count="2">
        <fieldUsage x="-1"/>
        <fieldUsage x="1"/>
      </fieldsUsage>
    </cacheHierarchy>
    <cacheHierarchy uniqueName="[mmmm].[Start Date]" caption="Start Date" attribute="1" time="1" defaultMemberUniqueName="[mmmm].[Start Date].[All]" allUniqueName="[mmmm].[Start Date].[All]" dimensionUniqueName="[mmmm]" displayFolder="" count="0" memberValueDatatype="7" unbalanced="0"/>
    <cacheHierarchy uniqueName="[mmmm].[Years]" caption="Years" attribute="1" defaultMemberUniqueName="[mmmm].[Years].[All]" allUniqueName="[mmmm].[Years].[All]" dimensionUniqueName="[mmmm]" displayFolder="" count="0" memberValueDatatype="20" unbalanced="0"/>
    <cacheHierarchy uniqueName="[mmmm].[Department]" caption="Department" attribute="1" defaultMemberUniqueName="[mmmm].[Department].[All]" allUniqueName="[mmmm].[Department].[All]" dimensionUniqueName="[mmmm]" displayFolder="" count="2" memberValueDatatype="130" unbalanced="0">
      <fieldsUsage count="2">
        <fieldUsage x="-1"/>
        <fieldUsage x="2"/>
      </fieldsUsage>
    </cacheHierarchy>
    <cacheHierarchy uniqueName="[mmmm].[Country]" caption="Country" attribute="1" defaultMemberUniqueName="[mmmm].[Country].[All]" allUniqueName="[mmmm].[Country].[All]" dimensionUniqueName="[mmmm]" displayFolder="" count="2" memberValueDatatype="130" unbalanced="0"/>
    <cacheHierarchy uniqueName="[mmmm].[Center]" caption="Center" attribute="1" defaultMemberUniqueName="[mmmm].[Center].[All]" allUniqueName="[mmmm].[Center].[All]" dimensionUniqueName="[mmmm]" displayFolder="" count="0" memberValueDatatype="130" unbalanced="0"/>
    <cacheHierarchy uniqueName="[mmmm].[Monthly Salary]" caption="Monthly Salary" attribute="1" defaultMemberUniqueName="[mmmm].[Monthly Salary].[All]" allUniqueName="[mmmm].[Monthly Salary].[All]" dimensionUniqueName="[mmmm]" displayFolder="" count="0" memberValueDatatype="20" unbalanced="0"/>
    <cacheHierarchy uniqueName="[mmmm].[Annual Salary]" caption="Annual Salary" attribute="1" defaultMemberUniqueName="[mmmm].[Annual Salary].[All]" allUniqueName="[mmmm].[Annual Salary].[All]" dimensionUniqueName="[mmmm]" displayFolder="" count="0" memberValueDatatype="20" unbalanced="0"/>
    <cacheHierarchy uniqueName="[mmmm].[Job Rate]" caption="Job Rate" attribute="1" defaultMemberUniqueName="[mmmm].[Job Rate].[All]" allUniqueName="[mmmm].[Job Rate].[All]" dimensionUniqueName="[mmmm]" displayFolder="" count="0" memberValueDatatype="5" unbalanced="0"/>
    <cacheHierarchy uniqueName="[mmmm].[Sick Leaves]" caption="Sick Leaves" attribute="1" defaultMemberUniqueName="[mmmm].[Sick Leaves].[All]" allUniqueName="[mmmm].[Sick Leaves].[All]" dimensionUniqueName="[mmmm]" displayFolder="" count="0" memberValueDatatype="20" unbalanced="0"/>
    <cacheHierarchy uniqueName="[mmmm].[Unpaid Leaves]" caption="Unpaid Leaves" attribute="1" defaultMemberUniqueName="[mmmm].[Unpaid Leaves].[All]" allUniqueName="[mmmm].[Unpaid Leaves].[All]" dimensionUniqueName="[mmmm]" displayFolder="" count="0" memberValueDatatype="20" unbalanced="0"/>
    <cacheHierarchy uniqueName="[mmmm].[Overtime Hours]" caption="Overtime Hours" attribute="1" defaultMemberUniqueName="[mmmm].[Overtime Hours].[All]" allUniqueName="[mmmm].[Overtime Hours].[All]" dimensionUniqueName="[mmmm]" displayFolder="" count="0" memberValueDatatype="20" unbalanced="0"/>
    <cacheHierarchy uniqueName="[mmmm].[Start Date (Year)]" caption="Start Date (Year)" attribute="1" defaultMemberUniqueName="[mmmm].[Start Date (Year)].[All]" allUniqueName="[mmmm].[Start Date (Year)].[All]" dimensionUniqueName="[mmmm]" displayFolder="" count="0" memberValueDatatype="130" unbalanced="0"/>
    <cacheHierarchy uniqueName="[mmmm].[Start Date (Quarter)]" caption="Start Date (Quarter)" attribute="1" defaultMemberUniqueName="[mmmm].[Start Date (Quarter)].[All]" allUniqueName="[mmmm].[Start Date (Quarter)].[All]" dimensionUniqueName="[mmmm]" displayFolder="" count="0" memberValueDatatype="130" unbalanced="0"/>
    <cacheHierarchy uniqueName="[mmmm].[Start Date (Month)]" caption="Start Date (Month)" attribute="1" defaultMemberUniqueName="[mmmm].[Start Date (Month)].[All]" allUniqueName="[mmmm].[Start Date (Month)].[All]" dimensionUniqueName="[mmmm]" displayFolder="" count="0" memberValueDatatype="130" unbalanced="0"/>
    <cacheHierarchy uniqueName="[mmmm].[Start Date (Month Index)]" caption="Start Date (Month Index)" attribute="1" defaultMemberUniqueName="[mmmm].[Start Date (Month Index)].[All]" allUniqueName="[mmmm].[Start Date (Month Index)].[All]" dimensionUniqueName="[mmmm]" displayFolder="" count="0" memberValueDatatype="20" unbalanced="0" hidden="1"/>
    <cacheHierarchy uniqueName="[Measures].[__XL_Count mmmm]" caption="__XL_Count mmmm" measure="1" displayFolder="" measureGroup="mmmm" count="0" hidden="1"/>
    <cacheHierarchy uniqueName="[Measures].[__No measures defined]" caption="__No measures defined" measure="1" displayFolder="" count="0" hidden="1"/>
    <cacheHierarchy uniqueName="[Measures].[Sum of ID]" caption="Sum of ID" measure="1" displayFolder="" measureGroup="mmmm"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mmmm"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mmmm"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mmmm"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mmmm" count="0" hidden="1">
      <extLst>
        <ext xmlns:x15="http://schemas.microsoft.com/office/spreadsheetml/2010/11/main" uri="{B97F6D7D-B522-45F9-BDA1-12C45D357490}">
          <x15:cacheHierarchy aggregatedColumn="10"/>
        </ext>
      </extLst>
    </cacheHierarchy>
    <cacheHierarchy uniqueName="[Measures].[Sum of Unpaid Leaves]" caption="Sum of Unpaid Leaves" measure="1" displayFolder="" measureGroup="mmmm"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mmmm"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mmmm" count="0" hidden="1">
      <extLst>
        <ext xmlns:x15="http://schemas.microsoft.com/office/spreadsheetml/2010/11/main" uri="{B97F6D7D-B522-45F9-BDA1-12C45D357490}">
          <x15:cacheHierarchy aggregatedColumn="15"/>
        </ext>
      </extLst>
    </cacheHierarchy>
    <cacheHierarchy uniqueName="[Measures].[Sum of Annual Salary]" caption="Sum of Annual Salary" measure="1" displayFolder="" measureGroup="mmmm" count="0" hidden="1">
      <extLst>
        <ext xmlns:x15="http://schemas.microsoft.com/office/spreadsheetml/2010/11/main" uri="{B97F6D7D-B522-45F9-BDA1-12C45D357490}">
          <x15:cacheHierarchy aggregatedColumn="11"/>
        </ext>
      </extLst>
    </cacheHierarchy>
    <cacheHierarchy uniqueName="[Measures].[Average of Annual Salary]" caption="Average of Annual Salary" measure="1" displayFolder="" measureGroup="mmmm"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mmmm" count="0" hidden="1">
      <extLst>
        <ext xmlns:x15="http://schemas.microsoft.com/office/spreadsheetml/2010/11/main" uri="{B97F6D7D-B522-45F9-BDA1-12C45D357490}">
          <x15:cacheHierarchy aggregatedColumn="12"/>
        </ext>
      </extLst>
    </cacheHierarchy>
    <cacheHierarchy uniqueName="[Measures].[Sum of Years]" caption="Sum of Years" measure="1" displayFolder="" measureGroup="mmmm" count="0" oneField="1" hidden="1">
      <fieldsUsage count="1">
        <fieldUsage x="0"/>
      </fieldsUsage>
      <extLst>
        <ext xmlns:x15="http://schemas.microsoft.com/office/spreadsheetml/2010/11/main" uri="{B97F6D7D-B522-45F9-BDA1-12C45D357490}">
          <x15:cacheHierarchy aggregatedColumn="6"/>
        </ext>
      </extLst>
    </cacheHierarchy>
    <cacheHierarchy uniqueName="[Measures].[Average of Sick Leaves]" caption="Average of Sick Leaves" measure="1" displayFolder="" measureGroup="mmmm"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mmmm" count="0" hidden="1">
      <extLst>
        <ext xmlns:x15="http://schemas.microsoft.com/office/spreadsheetml/2010/11/main" uri="{B97F6D7D-B522-45F9-BDA1-12C45D357490}">
          <x15:cacheHierarchy aggregatedColumn="14"/>
        </ext>
      </extLst>
    </cacheHierarchy>
    <cacheHierarchy uniqueName="[Measures].[Average of Job Rate]" caption="Average of Job Rate" measure="1" displayFolder="" measureGroup="mmmm" count="0" hidden="1">
      <extLst>
        <ext xmlns:x15="http://schemas.microsoft.com/office/spreadsheetml/2010/11/main" uri="{B97F6D7D-B522-45F9-BDA1-12C45D357490}">
          <x15:cacheHierarchy aggregatedColumn="12"/>
        </ext>
      </extLst>
    </cacheHierarchy>
    <cacheHierarchy uniqueName="[Measures].[Average of Years]" caption="Average of Years" measure="1" displayFolder="" measureGroup="mmmm" count="0" hidden="1">
      <extLst>
        <ext xmlns:x15="http://schemas.microsoft.com/office/spreadsheetml/2010/11/main" uri="{B97F6D7D-B522-45F9-BDA1-12C45D357490}">
          <x15:cacheHierarchy aggregatedColumn="6"/>
        </ext>
      </extLst>
    </cacheHierarchy>
    <cacheHierarchy uniqueName="[Measures].[Average of ID]" caption="Average of ID" measure="1" displayFolder="" measureGroup="mmmm"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mmm" uniqueName="[mmmm]" caption="mmmm"/>
  </dimensions>
  <measureGroups count="1">
    <measureGroup name="mmmm" caption="mmmm"/>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353690162039" backgroundQuery="1" createdVersion="8" refreshedVersion="8" minRefreshableVersion="3" recordCount="0" supportSubquery="1" supportAdvancedDrill="1" xr:uid="{C099F10F-12CA-499B-8B2E-57BC845955A3}">
  <cacheSource type="external" connectionId="2"/>
  <cacheFields count="3">
    <cacheField name="[Measures].[Average of Job Rate]" caption="Average of Job Rate" numFmtId="0" hierarchy="36" level="32767"/>
    <cacheField name="[mmmm].[ID].[ID]" caption="ID" numFmtId="0" level="1">
      <sharedItems containsSemiMixedTypes="0" containsString="0" containsNumber="1" containsInteger="1" minValue="1" maxValue="689" count="68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sharedItems>
      <extLst>
        <ext xmlns:x15="http://schemas.microsoft.com/office/spreadsheetml/2010/11/main" uri="{4F2E5C28-24EA-4eb8-9CBF-B6C8F9C3D259}">
          <x15:cachedUniqueNames>
            <x15:cachedUniqueName index="0" name="[mmmm].[ID].&amp;[1]"/>
            <x15:cachedUniqueName index="1" name="[mmmm].[ID].&amp;[2]"/>
            <x15:cachedUniqueName index="2" name="[mmmm].[ID].&amp;[3]"/>
            <x15:cachedUniqueName index="3" name="[mmmm].[ID].&amp;[4]"/>
            <x15:cachedUniqueName index="4" name="[mmmm].[ID].&amp;[5]"/>
            <x15:cachedUniqueName index="5" name="[mmmm].[ID].&amp;[6]"/>
            <x15:cachedUniqueName index="6" name="[mmmm].[ID].&amp;[7]"/>
            <x15:cachedUniqueName index="7" name="[mmmm].[ID].&amp;[8]"/>
            <x15:cachedUniqueName index="8" name="[mmmm].[ID].&amp;[9]"/>
            <x15:cachedUniqueName index="9" name="[mmmm].[ID].&amp;[10]"/>
            <x15:cachedUniqueName index="10" name="[mmmm].[ID].&amp;[11]"/>
            <x15:cachedUniqueName index="11" name="[mmmm].[ID].&amp;[12]"/>
            <x15:cachedUniqueName index="12" name="[mmmm].[ID].&amp;[13]"/>
            <x15:cachedUniqueName index="13" name="[mmmm].[ID].&amp;[14]"/>
            <x15:cachedUniqueName index="14" name="[mmmm].[ID].&amp;[15]"/>
            <x15:cachedUniqueName index="15" name="[mmmm].[ID].&amp;[16]"/>
            <x15:cachedUniqueName index="16" name="[mmmm].[ID].&amp;[17]"/>
            <x15:cachedUniqueName index="17" name="[mmmm].[ID].&amp;[18]"/>
            <x15:cachedUniqueName index="18" name="[mmmm].[ID].&amp;[19]"/>
            <x15:cachedUniqueName index="19" name="[mmmm].[ID].&amp;[20]"/>
            <x15:cachedUniqueName index="20" name="[mmmm].[ID].&amp;[21]"/>
            <x15:cachedUniqueName index="21" name="[mmmm].[ID].&amp;[22]"/>
            <x15:cachedUniqueName index="22" name="[mmmm].[ID].&amp;[23]"/>
            <x15:cachedUniqueName index="23" name="[mmmm].[ID].&amp;[24]"/>
            <x15:cachedUniqueName index="24" name="[mmmm].[ID].&amp;[25]"/>
            <x15:cachedUniqueName index="25" name="[mmmm].[ID].&amp;[26]"/>
            <x15:cachedUniqueName index="26" name="[mmmm].[ID].&amp;[27]"/>
            <x15:cachedUniqueName index="27" name="[mmmm].[ID].&amp;[28]"/>
            <x15:cachedUniqueName index="28" name="[mmmm].[ID].&amp;[29]"/>
            <x15:cachedUniqueName index="29" name="[mmmm].[ID].&amp;[30]"/>
            <x15:cachedUniqueName index="30" name="[mmmm].[ID].&amp;[31]"/>
            <x15:cachedUniqueName index="31" name="[mmmm].[ID].&amp;[32]"/>
            <x15:cachedUniqueName index="32" name="[mmmm].[ID].&amp;[33]"/>
            <x15:cachedUniqueName index="33" name="[mmmm].[ID].&amp;[34]"/>
            <x15:cachedUniqueName index="34" name="[mmmm].[ID].&amp;[35]"/>
            <x15:cachedUniqueName index="35" name="[mmmm].[ID].&amp;[36]"/>
            <x15:cachedUniqueName index="36" name="[mmmm].[ID].&amp;[37]"/>
            <x15:cachedUniqueName index="37" name="[mmmm].[ID].&amp;[38]"/>
            <x15:cachedUniqueName index="38" name="[mmmm].[ID].&amp;[39]"/>
            <x15:cachedUniqueName index="39" name="[mmmm].[ID].&amp;[40]"/>
            <x15:cachedUniqueName index="40" name="[mmmm].[ID].&amp;[41]"/>
            <x15:cachedUniqueName index="41" name="[mmmm].[ID].&amp;[42]"/>
            <x15:cachedUniqueName index="42" name="[mmmm].[ID].&amp;[43]"/>
            <x15:cachedUniqueName index="43" name="[mmmm].[ID].&amp;[44]"/>
            <x15:cachedUniqueName index="44" name="[mmmm].[ID].&amp;[45]"/>
            <x15:cachedUniqueName index="45" name="[mmmm].[ID].&amp;[46]"/>
            <x15:cachedUniqueName index="46" name="[mmmm].[ID].&amp;[47]"/>
            <x15:cachedUniqueName index="47" name="[mmmm].[ID].&amp;[48]"/>
            <x15:cachedUniqueName index="48" name="[mmmm].[ID].&amp;[49]"/>
            <x15:cachedUniqueName index="49" name="[mmmm].[ID].&amp;[50]"/>
            <x15:cachedUniqueName index="50" name="[mmmm].[ID].&amp;[51]"/>
            <x15:cachedUniqueName index="51" name="[mmmm].[ID].&amp;[52]"/>
            <x15:cachedUniqueName index="52" name="[mmmm].[ID].&amp;[53]"/>
            <x15:cachedUniqueName index="53" name="[mmmm].[ID].&amp;[54]"/>
            <x15:cachedUniqueName index="54" name="[mmmm].[ID].&amp;[55]"/>
            <x15:cachedUniqueName index="55" name="[mmmm].[ID].&amp;[56]"/>
            <x15:cachedUniqueName index="56" name="[mmmm].[ID].&amp;[57]"/>
            <x15:cachedUniqueName index="57" name="[mmmm].[ID].&amp;[58]"/>
            <x15:cachedUniqueName index="58" name="[mmmm].[ID].&amp;[59]"/>
            <x15:cachedUniqueName index="59" name="[mmmm].[ID].&amp;[60]"/>
            <x15:cachedUniqueName index="60" name="[mmmm].[ID].&amp;[61]"/>
            <x15:cachedUniqueName index="61" name="[mmmm].[ID].&amp;[62]"/>
            <x15:cachedUniqueName index="62" name="[mmmm].[ID].&amp;[63]"/>
            <x15:cachedUniqueName index="63" name="[mmmm].[ID].&amp;[64]"/>
            <x15:cachedUniqueName index="64" name="[mmmm].[ID].&amp;[65]"/>
            <x15:cachedUniqueName index="65" name="[mmmm].[ID].&amp;[66]"/>
            <x15:cachedUniqueName index="66" name="[mmmm].[ID].&amp;[67]"/>
            <x15:cachedUniqueName index="67" name="[mmmm].[ID].&amp;[68]"/>
            <x15:cachedUniqueName index="68" name="[mmmm].[ID].&amp;[69]"/>
            <x15:cachedUniqueName index="69" name="[mmmm].[ID].&amp;[70]"/>
            <x15:cachedUniqueName index="70" name="[mmmm].[ID].&amp;[71]"/>
            <x15:cachedUniqueName index="71" name="[mmmm].[ID].&amp;[72]"/>
            <x15:cachedUniqueName index="72" name="[mmmm].[ID].&amp;[73]"/>
            <x15:cachedUniqueName index="73" name="[mmmm].[ID].&amp;[74]"/>
            <x15:cachedUniqueName index="74" name="[mmmm].[ID].&amp;[75]"/>
            <x15:cachedUniqueName index="75" name="[mmmm].[ID].&amp;[76]"/>
            <x15:cachedUniqueName index="76" name="[mmmm].[ID].&amp;[77]"/>
            <x15:cachedUniqueName index="77" name="[mmmm].[ID].&amp;[78]"/>
            <x15:cachedUniqueName index="78" name="[mmmm].[ID].&amp;[79]"/>
            <x15:cachedUniqueName index="79" name="[mmmm].[ID].&amp;[80]"/>
            <x15:cachedUniqueName index="80" name="[mmmm].[ID].&amp;[81]"/>
            <x15:cachedUniqueName index="81" name="[mmmm].[ID].&amp;[82]"/>
            <x15:cachedUniqueName index="82" name="[mmmm].[ID].&amp;[83]"/>
            <x15:cachedUniqueName index="83" name="[mmmm].[ID].&amp;[84]"/>
            <x15:cachedUniqueName index="84" name="[mmmm].[ID].&amp;[85]"/>
            <x15:cachedUniqueName index="85" name="[mmmm].[ID].&amp;[86]"/>
            <x15:cachedUniqueName index="86" name="[mmmm].[ID].&amp;[87]"/>
            <x15:cachedUniqueName index="87" name="[mmmm].[ID].&amp;[88]"/>
            <x15:cachedUniqueName index="88" name="[mmmm].[ID].&amp;[89]"/>
            <x15:cachedUniqueName index="89" name="[mmmm].[ID].&amp;[90]"/>
            <x15:cachedUniqueName index="90" name="[mmmm].[ID].&amp;[91]"/>
            <x15:cachedUniqueName index="91" name="[mmmm].[ID].&amp;[92]"/>
            <x15:cachedUniqueName index="92" name="[mmmm].[ID].&amp;[93]"/>
            <x15:cachedUniqueName index="93" name="[mmmm].[ID].&amp;[94]"/>
            <x15:cachedUniqueName index="94" name="[mmmm].[ID].&amp;[95]"/>
            <x15:cachedUniqueName index="95" name="[mmmm].[ID].&amp;[96]"/>
            <x15:cachedUniqueName index="96" name="[mmmm].[ID].&amp;[97]"/>
            <x15:cachedUniqueName index="97" name="[mmmm].[ID].&amp;[98]"/>
            <x15:cachedUniqueName index="98" name="[mmmm].[ID].&amp;[99]"/>
            <x15:cachedUniqueName index="99" name="[mmmm].[ID].&amp;[100]"/>
            <x15:cachedUniqueName index="100" name="[mmmm].[ID].&amp;[101]"/>
            <x15:cachedUniqueName index="101" name="[mmmm].[ID].&amp;[102]"/>
            <x15:cachedUniqueName index="102" name="[mmmm].[ID].&amp;[103]"/>
            <x15:cachedUniqueName index="103" name="[mmmm].[ID].&amp;[104]"/>
            <x15:cachedUniqueName index="104" name="[mmmm].[ID].&amp;[105]"/>
            <x15:cachedUniqueName index="105" name="[mmmm].[ID].&amp;[106]"/>
            <x15:cachedUniqueName index="106" name="[mmmm].[ID].&amp;[107]"/>
            <x15:cachedUniqueName index="107" name="[mmmm].[ID].&amp;[108]"/>
            <x15:cachedUniqueName index="108" name="[mmmm].[ID].&amp;[109]"/>
            <x15:cachedUniqueName index="109" name="[mmmm].[ID].&amp;[110]"/>
            <x15:cachedUniqueName index="110" name="[mmmm].[ID].&amp;[111]"/>
            <x15:cachedUniqueName index="111" name="[mmmm].[ID].&amp;[112]"/>
            <x15:cachedUniqueName index="112" name="[mmmm].[ID].&amp;[113]"/>
            <x15:cachedUniqueName index="113" name="[mmmm].[ID].&amp;[114]"/>
            <x15:cachedUniqueName index="114" name="[mmmm].[ID].&amp;[115]"/>
            <x15:cachedUniqueName index="115" name="[mmmm].[ID].&amp;[116]"/>
            <x15:cachedUniqueName index="116" name="[mmmm].[ID].&amp;[117]"/>
            <x15:cachedUniqueName index="117" name="[mmmm].[ID].&amp;[118]"/>
            <x15:cachedUniqueName index="118" name="[mmmm].[ID].&amp;[119]"/>
            <x15:cachedUniqueName index="119" name="[mmmm].[ID].&amp;[120]"/>
            <x15:cachedUniqueName index="120" name="[mmmm].[ID].&amp;[121]"/>
            <x15:cachedUniqueName index="121" name="[mmmm].[ID].&amp;[122]"/>
            <x15:cachedUniqueName index="122" name="[mmmm].[ID].&amp;[123]"/>
            <x15:cachedUniqueName index="123" name="[mmmm].[ID].&amp;[124]"/>
            <x15:cachedUniqueName index="124" name="[mmmm].[ID].&amp;[125]"/>
            <x15:cachedUniqueName index="125" name="[mmmm].[ID].&amp;[126]"/>
            <x15:cachedUniqueName index="126" name="[mmmm].[ID].&amp;[127]"/>
            <x15:cachedUniqueName index="127" name="[mmmm].[ID].&amp;[128]"/>
            <x15:cachedUniqueName index="128" name="[mmmm].[ID].&amp;[129]"/>
            <x15:cachedUniqueName index="129" name="[mmmm].[ID].&amp;[130]"/>
            <x15:cachedUniqueName index="130" name="[mmmm].[ID].&amp;[131]"/>
            <x15:cachedUniqueName index="131" name="[mmmm].[ID].&amp;[132]"/>
            <x15:cachedUniqueName index="132" name="[mmmm].[ID].&amp;[133]"/>
            <x15:cachedUniqueName index="133" name="[mmmm].[ID].&amp;[134]"/>
            <x15:cachedUniqueName index="134" name="[mmmm].[ID].&amp;[135]"/>
            <x15:cachedUniqueName index="135" name="[mmmm].[ID].&amp;[136]"/>
            <x15:cachedUniqueName index="136" name="[mmmm].[ID].&amp;[137]"/>
            <x15:cachedUniqueName index="137" name="[mmmm].[ID].&amp;[138]"/>
            <x15:cachedUniqueName index="138" name="[mmmm].[ID].&amp;[139]"/>
            <x15:cachedUniqueName index="139" name="[mmmm].[ID].&amp;[140]"/>
            <x15:cachedUniqueName index="140" name="[mmmm].[ID].&amp;[141]"/>
            <x15:cachedUniqueName index="141" name="[mmmm].[ID].&amp;[142]"/>
            <x15:cachedUniqueName index="142" name="[mmmm].[ID].&amp;[143]"/>
            <x15:cachedUniqueName index="143" name="[mmmm].[ID].&amp;[144]"/>
            <x15:cachedUniqueName index="144" name="[mmmm].[ID].&amp;[145]"/>
            <x15:cachedUniqueName index="145" name="[mmmm].[ID].&amp;[146]"/>
            <x15:cachedUniqueName index="146" name="[mmmm].[ID].&amp;[147]"/>
            <x15:cachedUniqueName index="147" name="[mmmm].[ID].&amp;[148]"/>
            <x15:cachedUniqueName index="148" name="[mmmm].[ID].&amp;[149]"/>
            <x15:cachedUniqueName index="149" name="[mmmm].[ID].&amp;[150]"/>
            <x15:cachedUniqueName index="150" name="[mmmm].[ID].&amp;[151]"/>
            <x15:cachedUniqueName index="151" name="[mmmm].[ID].&amp;[152]"/>
            <x15:cachedUniqueName index="152" name="[mmmm].[ID].&amp;[153]"/>
            <x15:cachedUniqueName index="153" name="[mmmm].[ID].&amp;[154]"/>
            <x15:cachedUniqueName index="154" name="[mmmm].[ID].&amp;[155]"/>
            <x15:cachedUniqueName index="155" name="[mmmm].[ID].&amp;[156]"/>
            <x15:cachedUniqueName index="156" name="[mmmm].[ID].&amp;[157]"/>
            <x15:cachedUniqueName index="157" name="[mmmm].[ID].&amp;[158]"/>
            <x15:cachedUniqueName index="158" name="[mmmm].[ID].&amp;[159]"/>
            <x15:cachedUniqueName index="159" name="[mmmm].[ID].&amp;[160]"/>
            <x15:cachedUniqueName index="160" name="[mmmm].[ID].&amp;[161]"/>
            <x15:cachedUniqueName index="161" name="[mmmm].[ID].&amp;[162]"/>
            <x15:cachedUniqueName index="162" name="[mmmm].[ID].&amp;[163]"/>
            <x15:cachedUniqueName index="163" name="[mmmm].[ID].&amp;[164]"/>
            <x15:cachedUniqueName index="164" name="[mmmm].[ID].&amp;[165]"/>
            <x15:cachedUniqueName index="165" name="[mmmm].[ID].&amp;[166]"/>
            <x15:cachedUniqueName index="166" name="[mmmm].[ID].&amp;[167]"/>
            <x15:cachedUniqueName index="167" name="[mmmm].[ID].&amp;[168]"/>
            <x15:cachedUniqueName index="168" name="[mmmm].[ID].&amp;[169]"/>
            <x15:cachedUniqueName index="169" name="[mmmm].[ID].&amp;[170]"/>
            <x15:cachedUniqueName index="170" name="[mmmm].[ID].&amp;[171]"/>
            <x15:cachedUniqueName index="171" name="[mmmm].[ID].&amp;[172]"/>
            <x15:cachedUniqueName index="172" name="[mmmm].[ID].&amp;[173]"/>
            <x15:cachedUniqueName index="173" name="[mmmm].[ID].&amp;[174]"/>
            <x15:cachedUniqueName index="174" name="[mmmm].[ID].&amp;[175]"/>
            <x15:cachedUniqueName index="175" name="[mmmm].[ID].&amp;[176]"/>
            <x15:cachedUniqueName index="176" name="[mmmm].[ID].&amp;[177]"/>
            <x15:cachedUniqueName index="177" name="[mmmm].[ID].&amp;[178]"/>
            <x15:cachedUniqueName index="178" name="[mmmm].[ID].&amp;[179]"/>
            <x15:cachedUniqueName index="179" name="[mmmm].[ID].&amp;[180]"/>
            <x15:cachedUniqueName index="180" name="[mmmm].[ID].&amp;[181]"/>
            <x15:cachedUniqueName index="181" name="[mmmm].[ID].&amp;[182]"/>
            <x15:cachedUniqueName index="182" name="[mmmm].[ID].&amp;[183]"/>
            <x15:cachedUniqueName index="183" name="[mmmm].[ID].&amp;[184]"/>
            <x15:cachedUniqueName index="184" name="[mmmm].[ID].&amp;[185]"/>
            <x15:cachedUniqueName index="185" name="[mmmm].[ID].&amp;[186]"/>
            <x15:cachedUniqueName index="186" name="[mmmm].[ID].&amp;[187]"/>
            <x15:cachedUniqueName index="187" name="[mmmm].[ID].&amp;[188]"/>
            <x15:cachedUniqueName index="188" name="[mmmm].[ID].&amp;[189]"/>
            <x15:cachedUniqueName index="189" name="[mmmm].[ID].&amp;[190]"/>
            <x15:cachedUniqueName index="190" name="[mmmm].[ID].&amp;[191]"/>
            <x15:cachedUniqueName index="191" name="[mmmm].[ID].&amp;[192]"/>
            <x15:cachedUniqueName index="192" name="[mmmm].[ID].&amp;[193]"/>
            <x15:cachedUniqueName index="193" name="[mmmm].[ID].&amp;[194]"/>
            <x15:cachedUniqueName index="194" name="[mmmm].[ID].&amp;[195]"/>
            <x15:cachedUniqueName index="195" name="[mmmm].[ID].&amp;[196]"/>
            <x15:cachedUniqueName index="196" name="[mmmm].[ID].&amp;[197]"/>
            <x15:cachedUniqueName index="197" name="[mmmm].[ID].&amp;[198]"/>
            <x15:cachedUniqueName index="198" name="[mmmm].[ID].&amp;[199]"/>
            <x15:cachedUniqueName index="199" name="[mmmm].[ID].&amp;[200]"/>
            <x15:cachedUniqueName index="200" name="[mmmm].[ID].&amp;[201]"/>
            <x15:cachedUniqueName index="201" name="[mmmm].[ID].&amp;[202]"/>
            <x15:cachedUniqueName index="202" name="[mmmm].[ID].&amp;[203]"/>
            <x15:cachedUniqueName index="203" name="[mmmm].[ID].&amp;[204]"/>
            <x15:cachedUniqueName index="204" name="[mmmm].[ID].&amp;[205]"/>
            <x15:cachedUniqueName index="205" name="[mmmm].[ID].&amp;[206]"/>
            <x15:cachedUniqueName index="206" name="[mmmm].[ID].&amp;[207]"/>
            <x15:cachedUniqueName index="207" name="[mmmm].[ID].&amp;[208]"/>
            <x15:cachedUniqueName index="208" name="[mmmm].[ID].&amp;[209]"/>
            <x15:cachedUniqueName index="209" name="[mmmm].[ID].&amp;[210]"/>
            <x15:cachedUniqueName index="210" name="[mmmm].[ID].&amp;[211]"/>
            <x15:cachedUniqueName index="211" name="[mmmm].[ID].&amp;[212]"/>
            <x15:cachedUniqueName index="212" name="[mmmm].[ID].&amp;[213]"/>
            <x15:cachedUniqueName index="213" name="[mmmm].[ID].&amp;[214]"/>
            <x15:cachedUniqueName index="214" name="[mmmm].[ID].&amp;[215]"/>
            <x15:cachedUniqueName index="215" name="[mmmm].[ID].&amp;[216]"/>
            <x15:cachedUniqueName index="216" name="[mmmm].[ID].&amp;[217]"/>
            <x15:cachedUniqueName index="217" name="[mmmm].[ID].&amp;[218]"/>
            <x15:cachedUniqueName index="218" name="[mmmm].[ID].&amp;[219]"/>
            <x15:cachedUniqueName index="219" name="[mmmm].[ID].&amp;[220]"/>
            <x15:cachedUniqueName index="220" name="[mmmm].[ID].&amp;[221]"/>
            <x15:cachedUniqueName index="221" name="[mmmm].[ID].&amp;[222]"/>
            <x15:cachedUniqueName index="222" name="[mmmm].[ID].&amp;[223]"/>
            <x15:cachedUniqueName index="223" name="[mmmm].[ID].&amp;[224]"/>
            <x15:cachedUniqueName index="224" name="[mmmm].[ID].&amp;[225]"/>
            <x15:cachedUniqueName index="225" name="[mmmm].[ID].&amp;[226]"/>
            <x15:cachedUniqueName index="226" name="[mmmm].[ID].&amp;[227]"/>
            <x15:cachedUniqueName index="227" name="[mmmm].[ID].&amp;[228]"/>
            <x15:cachedUniqueName index="228" name="[mmmm].[ID].&amp;[229]"/>
            <x15:cachedUniqueName index="229" name="[mmmm].[ID].&amp;[230]"/>
            <x15:cachedUniqueName index="230" name="[mmmm].[ID].&amp;[231]"/>
            <x15:cachedUniqueName index="231" name="[mmmm].[ID].&amp;[232]"/>
            <x15:cachedUniqueName index="232" name="[mmmm].[ID].&amp;[233]"/>
            <x15:cachedUniqueName index="233" name="[mmmm].[ID].&amp;[234]"/>
            <x15:cachedUniqueName index="234" name="[mmmm].[ID].&amp;[235]"/>
            <x15:cachedUniqueName index="235" name="[mmmm].[ID].&amp;[236]"/>
            <x15:cachedUniqueName index="236" name="[mmmm].[ID].&amp;[237]"/>
            <x15:cachedUniqueName index="237" name="[mmmm].[ID].&amp;[238]"/>
            <x15:cachedUniqueName index="238" name="[mmmm].[ID].&amp;[239]"/>
            <x15:cachedUniqueName index="239" name="[mmmm].[ID].&amp;[240]"/>
            <x15:cachedUniqueName index="240" name="[mmmm].[ID].&amp;[241]"/>
            <x15:cachedUniqueName index="241" name="[mmmm].[ID].&amp;[242]"/>
            <x15:cachedUniqueName index="242" name="[mmmm].[ID].&amp;[243]"/>
            <x15:cachedUniqueName index="243" name="[mmmm].[ID].&amp;[244]"/>
            <x15:cachedUniqueName index="244" name="[mmmm].[ID].&amp;[245]"/>
            <x15:cachedUniqueName index="245" name="[mmmm].[ID].&amp;[246]"/>
            <x15:cachedUniqueName index="246" name="[mmmm].[ID].&amp;[247]"/>
            <x15:cachedUniqueName index="247" name="[mmmm].[ID].&amp;[248]"/>
            <x15:cachedUniqueName index="248" name="[mmmm].[ID].&amp;[249]"/>
            <x15:cachedUniqueName index="249" name="[mmmm].[ID].&amp;[250]"/>
            <x15:cachedUniqueName index="250" name="[mmmm].[ID].&amp;[251]"/>
            <x15:cachedUniqueName index="251" name="[mmmm].[ID].&amp;[252]"/>
            <x15:cachedUniqueName index="252" name="[mmmm].[ID].&amp;[253]"/>
            <x15:cachedUniqueName index="253" name="[mmmm].[ID].&amp;[254]"/>
            <x15:cachedUniqueName index="254" name="[mmmm].[ID].&amp;[255]"/>
            <x15:cachedUniqueName index="255" name="[mmmm].[ID].&amp;[256]"/>
            <x15:cachedUniqueName index="256" name="[mmmm].[ID].&amp;[257]"/>
            <x15:cachedUniqueName index="257" name="[mmmm].[ID].&amp;[258]"/>
            <x15:cachedUniqueName index="258" name="[mmmm].[ID].&amp;[259]"/>
            <x15:cachedUniqueName index="259" name="[mmmm].[ID].&amp;[260]"/>
            <x15:cachedUniqueName index="260" name="[mmmm].[ID].&amp;[261]"/>
            <x15:cachedUniqueName index="261" name="[mmmm].[ID].&amp;[262]"/>
            <x15:cachedUniqueName index="262" name="[mmmm].[ID].&amp;[263]"/>
            <x15:cachedUniqueName index="263" name="[mmmm].[ID].&amp;[264]"/>
            <x15:cachedUniqueName index="264" name="[mmmm].[ID].&amp;[265]"/>
            <x15:cachedUniqueName index="265" name="[mmmm].[ID].&amp;[266]"/>
            <x15:cachedUniqueName index="266" name="[mmmm].[ID].&amp;[267]"/>
            <x15:cachedUniqueName index="267" name="[mmmm].[ID].&amp;[268]"/>
            <x15:cachedUniqueName index="268" name="[mmmm].[ID].&amp;[269]"/>
            <x15:cachedUniqueName index="269" name="[mmmm].[ID].&amp;[270]"/>
            <x15:cachedUniqueName index="270" name="[mmmm].[ID].&amp;[271]"/>
            <x15:cachedUniqueName index="271" name="[mmmm].[ID].&amp;[272]"/>
            <x15:cachedUniqueName index="272" name="[mmmm].[ID].&amp;[273]"/>
            <x15:cachedUniqueName index="273" name="[mmmm].[ID].&amp;[274]"/>
            <x15:cachedUniqueName index="274" name="[mmmm].[ID].&amp;[275]"/>
            <x15:cachedUniqueName index="275" name="[mmmm].[ID].&amp;[276]"/>
            <x15:cachedUniqueName index="276" name="[mmmm].[ID].&amp;[277]"/>
            <x15:cachedUniqueName index="277" name="[mmmm].[ID].&amp;[278]"/>
            <x15:cachedUniqueName index="278" name="[mmmm].[ID].&amp;[279]"/>
            <x15:cachedUniqueName index="279" name="[mmmm].[ID].&amp;[280]"/>
            <x15:cachedUniqueName index="280" name="[mmmm].[ID].&amp;[281]"/>
            <x15:cachedUniqueName index="281" name="[mmmm].[ID].&amp;[282]"/>
            <x15:cachedUniqueName index="282" name="[mmmm].[ID].&amp;[283]"/>
            <x15:cachedUniqueName index="283" name="[mmmm].[ID].&amp;[284]"/>
            <x15:cachedUniqueName index="284" name="[mmmm].[ID].&amp;[285]"/>
            <x15:cachedUniqueName index="285" name="[mmmm].[ID].&amp;[286]"/>
            <x15:cachedUniqueName index="286" name="[mmmm].[ID].&amp;[287]"/>
            <x15:cachedUniqueName index="287" name="[mmmm].[ID].&amp;[288]"/>
            <x15:cachedUniqueName index="288" name="[mmmm].[ID].&amp;[289]"/>
            <x15:cachedUniqueName index="289" name="[mmmm].[ID].&amp;[290]"/>
            <x15:cachedUniqueName index="290" name="[mmmm].[ID].&amp;[291]"/>
            <x15:cachedUniqueName index="291" name="[mmmm].[ID].&amp;[292]"/>
            <x15:cachedUniqueName index="292" name="[mmmm].[ID].&amp;[293]"/>
            <x15:cachedUniqueName index="293" name="[mmmm].[ID].&amp;[294]"/>
            <x15:cachedUniqueName index="294" name="[mmmm].[ID].&amp;[295]"/>
            <x15:cachedUniqueName index="295" name="[mmmm].[ID].&amp;[296]"/>
            <x15:cachedUniqueName index="296" name="[mmmm].[ID].&amp;[297]"/>
            <x15:cachedUniqueName index="297" name="[mmmm].[ID].&amp;[298]"/>
            <x15:cachedUniqueName index="298" name="[mmmm].[ID].&amp;[299]"/>
            <x15:cachedUniqueName index="299" name="[mmmm].[ID].&amp;[300]"/>
            <x15:cachedUniqueName index="300" name="[mmmm].[ID].&amp;[301]"/>
            <x15:cachedUniqueName index="301" name="[mmmm].[ID].&amp;[302]"/>
            <x15:cachedUniqueName index="302" name="[mmmm].[ID].&amp;[303]"/>
            <x15:cachedUniqueName index="303" name="[mmmm].[ID].&amp;[304]"/>
            <x15:cachedUniqueName index="304" name="[mmmm].[ID].&amp;[305]"/>
            <x15:cachedUniqueName index="305" name="[mmmm].[ID].&amp;[306]"/>
            <x15:cachedUniqueName index="306" name="[mmmm].[ID].&amp;[307]"/>
            <x15:cachedUniqueName index="307" name="[mmmm].[ID].&amp;[308]"/>
            <x15:cachedUniqueName index="308" name="[mmmm].[ID].&amp;[309]"/>
            <x15:cachedUniqueName index="309" name="[mmmm].[ID].&amp;[310]"/>
            <x15:cachedUniqueName index="310" name="[mmmm].[ID].&amp;[311]"/>
            <x15:cachedUniqueName index="311" name="[mmmm].[ID].&amp;[312]"/>
            <x15:cachedUniqueName index="312" name="[mmmm].[ID].&amp;[313]"/>
            <x15:cachedUniqueName index="313" name="[mmmm].[ID].&amp;[314]"/>
            <x15:cachedUniqueName index="314" name="[mmmm].[ID].&amp;[315]"/>
            <x15:cachedUniqueName index="315" name="[mmmm].[ID].&amp;[316]"/>
            <x15:cachedUniqueName index="316" name="[mmmm].[ID].&amp;[317]"/>
            <x15:cachedUniqueName index="317" name="[mmmm].[ID].&amp;[318]"/>
            <x15:cachedUniqueName index="318" name="[mmmm].[ID].&amp;[319]"/>
            <x15:cachedUniqueName index="319" name="[mmmm].[ID].&amp;[320]"/>
            <x15:cachedUniqueName index="320" name="[mmmm].[ID].&amp;[321]"/>
            <x15:cachedUniqueName index="321" name="[mmmm].[ID].&amp;[322]"/>
            <x15:cachedUniqueName index="322" name="[mmmm].[ID].&amp;[323]"/>
            <x15:cachedUniqueName index="323" name="[mmmm].[ID].&amp;[324]"/>
            <x15:cachedUniqueName index="324" name="[mmmm].[ID].&amp;[325]"/>
            <x15:cachedUniqueName index="325" name="[mmmm].[ID].&amp;[326]"/>
            <x15:cachedUniqueName index="326" name="[mmmm].[ID].&amp;[327]"/>
            <x15:cachedUniqueName index="327" name="[mmmm].[ID].&amp;[328]"/>
            <x15:cachedUniqueName index="328" name="[mmmm].[ID].&amp;[329]"/>
            <x15:cachedUniqueName index="329" name="[mmmm].[ID].&amp;[330]"/>
            <x15:cachedUniqueName index="330" name="[mmmm].[ID].&amp;[331]"/>
            <x15:cachedUniqueName index="331" name="[mmmm].[ID].&amp;[332]"/>
            <x15:cachedUniqueName index="332" name="[mmmm].[ID].&amp;[333]"/>
            <x15:cachedUniqueName index="333" name="[mmmm].[ID].&amp;[334]"/>
            <x15:cachedUniqueName index="334" name="[mmmm].[ID].&amp;[335]"/>
            <x15:cachedUniqueName index="335" name="[mmmm].[ID].&amp;[336]"/>
            <x15:cachedUniqueName index="336" name="[mmmm].[ID].&amp;[337]"/>
            <x15:cachedUniqueName index="337" name="[mmmm].[ID].&amp;[338]"/>
            <x15:cachedUniqueName index="338" name="[mmmm].[ID].&amp;[339]"/>
            <x15:cachedUniqueName index="339" name="[mmmm].[ID].&amp;[340]"/>
            <x15:cachedUniqueName index="340" name="[mmmm].[ID].&amp;[341]"/>
            <x15:cachedUniqueName index="341" name="[mmmm].[ID].&amp;[342]"/>
            <x15:cachedUniqueName index="342" name="[mmmm].[ID].&amp;[343]"/>
            <x15:cachedUniqueName index="343" name="[mmmm].[ID].&amp;[344]"/>
            <x15:cachedUniqueName index="344" name="[mmmm].[ID].&amp;[345]"/>
            <x15:cachedUniqueName index="345" name="[mmmm].[ID].&amp;[346]"/>
            <x15:cachedUniqueName index="346" name="[mmmm].[ID].&amp;[347]"/>
            <x15:cachedUniqueName index="347" name="[mmmm].[ID].&amp;[348]"/>
            <x15:cachedUniqueName index="348" name="[mmmm].[ID].&amp;[349]"/>
            <x15:cachedUniqueName index="349" name="[mmmm].[ID].&amp;[350]"/>
            <x15:cachedUniqueName index="350" name="[mmmm].[ID].&amp;[351]"/>
            <x15:cachedUniqueName index="351" name="[mmmm].[ID].&amp;[352]"/>
            <x15:cachedUniqueName index="352" name="[mmmm].[ID].&amp;[353]"/>
            <x15:cachedUniqueName index="353" name="[mmmm].[ID].&amp;[354]"/>
            <x15:cachedUniqueName index="354" name="[mmmm].[ID].&amp;[355]"/>
            <x15:cachedUniqueName index="355" name="[mmmm].[ID].&amp;[356]"/>
            <x15:cachedUniqueName index="356" name="[mmmm].[ID].&amp;[357]"/>
            <x15:cachedUniqueName index="357" name="[mmmm].[ID].&amp;[358]"/>
            <x15:cachedUniqueName index="358" name="[mmmm].[ID].&amp;[359]"/>
            <x15:cachedUniqueName index="359" name="[mmmm].[ID].&amp;[360]"/>
            <x15:cachedUniqueName index="360" name="[mmmm].[ID].&amp;[361]"/>
            <x15:cachedUniqueName index="361" name="[mmmm].[ID].&amp;[362]"/>
            <x15:cachedUniqueName index="362" name="[mmmm].[ID].&amp;[363]"/>
            <x15:cachedUniqueName index="363" name="[mmmm].[ID].&amp;[364]"/>
            <x15:cachedUniqueName index="364" name="[mmmm].[ID].&amp;[365]"/>
            <x15:cachedUniqueName index="365" name="[mmmm].[ID].&amp;[366]"/>
            <x15:cachedUniqueName index="366" name="[mmmm].[ID].&amp;[367]"/>
            <x15:cachedUniqueName index="367" name="[mmmm].[ID].&amp;[368]"/>
            <x15:cachedUniqueName index="368" name="[mmmm].[ID].&amp;[369]"/>
            <x15:cachedUniqueName index="369" name="[mmmm].[ID].&amp;[370]"/>
            <x15:cachedUniqueName index="370" name="[mmmm].[ID].&amp;[371]"/>
            <x15:cachedUniqueName index="371" name="[mmmm].[ID].&amp;[372]"/>
            <x15:cachedUniqueName index="372" name="[mmmm].[ID].&amp;[373]"/>
            <x15:cachedUniqueName index="373" name="[mmmm].[ID].&amp;[374]"/>
            <x15:cachedUniqueName index="374" name="[mmmm].[ID].&amp;[375]"/>
            <x15:cachedUniqueName index="375" name="[mmmm].[ID].&amp;[376]"/>
            <x15:cachedUniqueName index="376" name="[mmmm].[ID].&amp;[377]"/>
            <x15:cachedUniqueName index="377" name="[mmmm].[ID].&amp;[378]"/>
            <x15:cachedUniqueName index="378" name="[mmmm].[ID].&amp;[379]"/>
            <x15:cachedUniqueName index="379" name="[mmmm].[ID].&amp;[380]"/>
            <x15:cachedUniqueName index="380" name="[mmmm].[ID].&amp;[381]"/>
            <x15:cachedUniqueName index="381" name="[mmmm].[ID].&amp;[382]"/>
            <x15:cachedUniqueName index="382" name="[mmmm].[ID].&amp;[383]"/>
            <x15:cachedUniqueName index="383" name="[mmmm].[ID].&amp;[384]"/>
            <x15:cachedUniqueName index="384" name="[mmmm].[ID].&amp;[385]"/>
            <x15:cachedUniqueName index="385" name="[mmmm].[ID].&amp;[386]"/>
            <x15:cachedUniqueName index="386" name="[mmmm].[ID].&amp;[387]"/>
            <x15:cachedUniqueName index="387" name="[mmmm].[ID].&amp;[388]"/>
            <x15:cachedUniqueName index="388" name="[mmmm].[ID].&amp;[389]"/>
            <x15:cachedUniqueName index="389" name="[mmmm].[ID].&amp;[390]"/>
            <x15:cachedUniqueName index="390" name="[mmmm].[ID].&amp;[391]"/>
            <x15:cachedUniqueName index="391" name="[mmmm].[ID].&amp;[392]"/>
            <x15:cachedUniqueName index="392" name="[mmmm].[ID].&amp;[393]"/>
            <x15:cachedUniqueName index="393" name="[mmmm].[ID].&amp;[394]"/>
            <x15:cachedUniqueName index="394" name="[mmmm].[ID].&amp;[395]"/>
            <x15:cachedUniqueName index="395" name="[mmmm].[ID].&amp;[396]"/>
            <x15:cachedUniqueName index="396" name="[mmmm].[ID].&amp;[397]"/>
            <x15:cachedUniqueName index="397" name="[mmmm].[ID].&amp;[398]"/>
            <x15:cachedUniqueName index="398" name="[mmmm].[ID].&amp;[399]"/>
            <x15:cachedUniqueName index="399" name="[mmmm].[ID].&amp;[400]"/>
            <x15:cachedUniqueName index="400" name="[mmmm].[ID].&amp;[401]"/>
            <x15:cachedUniqueName index="401" name="[mmmm].[ID].&amp;[402]"/>
            <x15:cachedUniqueName index="402" name="[mmmm].[ID].&amp;[403]"/>
            <x15:cachedUniqueName index="403" name="[mmmm].[ID].&amp;[404]"/>
            <x15:cachedUniqueName index="404" name="[mmmm].[ID].&amp;[405]"/>
            <x15:cachedUniqueName index="405" name="[mmmm].[ID].&amp;[406]"/>
            <x15:cachedUniqueName index="406" name="[mmmm].[ID].&amp;[407]"/>
            <x15:cachedUniqueName index="407" name="[mmmm].[ID].&amp;[408]"/>
            <x15:cachedUniqueName index="408" name="[mmmm].[ID].&amp;[409]"/>
            <x15:cachedUniqueName index="409" name="[mmmm].[ID].&amp;[410]"/>
            <x15:cachedUniqueName index="410" name="[mmmm].[ID].&amp;[411]"/>
            <x15:cachedUniqueName index="411" name="[mmmm].[ID].&amp;[412]"/>
            <x15:cachedUniqueName index="412" name="[mmmm].[ID].&amp;[413]"/>
            <x15:cachedUniqueName index="413" name="[mmmm].[ID].&amp;[414]"/>
            <x15:cachedUniqueName index="414" name="[mmmm].[ID].&amp;[415]"/>
            <x15:cachedUniqueName index="415" name="[mmmm].[ID].&amp;[416]"/>
            <x15:cachedUniqueName index="416" name="[mmmm].[ID].&amp;[417]"/>
            <x15:cachedUniqueName index="417" name="[mmmm].[ID].&amp;[418]"/>
            <x15:cachedUniqueName index="418" name="[mmmm].[ID].&amp;[419]"/>
            <x15:cachedUniqueName index="419" name="[mmmm].[ID].&amp;[420]"/>
            <x15:cachedUniqueName index="420" name="[mmmm].[ID].&amp;[421]"/>
            <x15:cachedUniqueName index="421" name="[mmmm].[ID].&amp;[422]"/>
            <x15:cachedUniqueName index="422" name="[mmmm].[ID].&amp;[423]"/>
            <x15:cachedUniqueName index="423" name="[mmmm].[ID].&amp;[424]"/>
            <x15:cachedUniqueName index="424" name="[mmmm].[ID].&amp;[425]"/>
            <x15:cachedUniqueName index="425" name="[mmmm].[ID].&amp;[426]"/>
            <x15:cachedUniqueName index="426" name="[mmmm].[ID].&amp;[427]"/>
            <x15:cachedUniqueName index="427" name="[mmmm].[ID].&amp;[428]"/>
            <x15:cachedUniqueName index="428" name="[mmmm].[ID].&amp;[429]"/>
            <x15:cachedUniqueName index="429" name="[mmmm].[ID].&amp;[430]"/>
            <x15:cachedUniqueName index="430" name="[mmmm].[ID].&amp;[431]"/>
            <x15:cachedUniqueName index="431" name="[mmmm].[ID].&amp;[432]"/>
            <x15:cachedUniqueName index="432" name="[mmmm].[ID].&amp;[433]"/>
            <x15:cachedUniqueName index="433" name="[mmmm].[ID].&amp;[434]"/>
            <x15:cachedUniqueName index="434" name="[mmmm].[ID].&amp;[435]"/>
            <x15:cachedUniqueName index="435" name="[mmmm].[ID].&amp;[436]"/>
            <x15:cachedUniqueName index="436" name="[mmmm].[ID].&amp;[437]"/>
            <x15:cachedUniqueName index="437" name="[mmmm].[ID].&amp;[438]"/>
            <x15:cachedUniqueName index="438" name="[mmmm].[ID].&amp;[439]"/>
            <x15:cachedUniqueName index="439" name="[mmmm].[ID].&amp;[440]"/>
            <x15:cachedUniqueName index="440" name="[mmmm].[ID].&amp;[441]"/>
            <x15:cachedUniqueName index="441" name="[mmmm].[ID].&amp;[442]"/>
            <x15:cachedUniqueName index="442" name="[mmmm].[ID].&amp;[443]"/>
            <x15:cachedUniqueName index="443" name="[mmmm].[ID].&amp;[444]"/>
            <x15:cachedUniqueName index="444" name="[mmmm].[ID].&amp;[445]"/>
            <x15:cachedUniqueName index="445" name="[mmmm].[ID].&amp;[446]"/>
            <x15:cachedUniqueName index="446" name="[mmmm].[ID].&amp;[447]"/>
            <x15:cachedUniqueName index="447" name="[mmmm].[ID].&amp;[448]"/>
            <x15:cachedUniqueName index="448" name="[mmmm].[ID].&amp;[449]"/>
            <x15:cachedUniqueName index="449" name="[mmmm].[ID].&amp;[450]"/>
            <x15:cachedUniqueName index="450" name="[mmmm].[ID].&amp;[451]"/>
            <x15:cachedUniqueName index="451" name="[mmmm].[ID].&amp;[452]"/>
            <x15:cachedUniqueName index="452" name="[mmmm].[ID].&amp;[453]"/>
            <x15:cachedUniqueName index="453" name="[mmmm].[ID].&amp;[454]"/>
            <x15:cachedUniqueName index="454" name="[mmmm].[ID].&amp;[455]"/>
            <x15:cachedUniqueName index="455" name="[mmmm].[ID].&amp;[456]"/>
            <x15:cachedUniqueName index="456" name="[mmmm].[ID].&amp;[457]"/>
            <x15:cachedUniqueName index="457" name="[mmmm].[ID].&amp;[458]"/>
            <x15:cachedUniqueName index="458" name="[mmmm].[ID].&amp;[459]"/>
            <x15:cachedUniqueName index="459" name="[mmmm].[ID].&amp;[460]"/>
            <x15:cachedUniqueName index="460" name="[mmmm].[ID].&amp;[461]"/>
            <x15:cachedUniqueName index="461" name="[mmmm].[ID].&amp;[462]"/>
            <x15:cachedUniqueName index="462" name="[mmmm].[ID].&amp;[463]"/>
            <x15:cachedUniqueName index="463" name="[mmmm].[ID].&amp;[464]"/>
            <x15:cachedUniqueName index="464" name="[mmmm].[ID].&amp;[465]"/>
            <x15:cachedUniqueName index="465" name="[mmmm].[ID].&amp;[466]"/>
            <x15:cachedUniqueName index="466" name="[mmmm].[ID].&amp;[467]"/>
            <x15:cachedUniqueName index="467" name="[mmmm].[ID].&amp;[468]"/>
            <x15:cachedUniqueName index="468" name="[mmmm].[ID].&amp;[469]"/>
            <x15:cachedUniqueName index="469" name="[mmmm].[ID].&amp;[470]"/>
            <x15:cachedUniqueName index="470" name="[mmmm].[ID].&amp;[471]"/>
            <x15:cachedUniqueName index="471" name="[mmmm].[ID].&amp;[472]"/>
            <x15:cachedUniqueName index="472" name="[mmmm].[ID].&amp;[473]"/>
            <x15:cachedUniqueName index="473" name="[mmmm].[ID].&amp;[474]"/>
            <x15:cachedUniqueName index="474" name="[mmmm].[ID].&amp;[475]"/>
            <x15:cachedUniqueName index="475" name="[mmmm].[ID].&amp;[476]"/>
            <x15:cachedUniqueName index="476" name="[mmmm].[ID].&amp;[477]"/>
            <x15:cachedUniqueName index="477" name="[mmmm].[ID].&amp;[478]"/>
            <x15:cachedUniqueName index="478" name="[mmmm].[ID].&amp;[479]"/>
            <x15:cachedUniqueName index="479" name="[mmmm].[ID].&amp;[480]"/>
            <x15:cachedUniqueName index="480" name="[mmmm].[ID].&amp;[481]"/>
            <x15:cachedUniqueName index="481" name="[mmmm].[ID].&amp;[482]"/>
            <x15:cachedUniqueName index="482" name="[mmmm].[ID].&amp;[483]"/>
            <x15:cachedUniqueName index="483" name="[mmmm].[ID].&amp;[484]"/>
            <x15:cachedUniqueName index="484" name="[mmmm].[ID].&amp;[485]"/>
            <x15:cachedUniqueName index="485" name="[mmmm].[ID].&amp;[486]"/>
            <x15:cachedUniqueName index="486" name="[mmmm].[ID].&amp;[487]"/>
            <x15:cachedUniqueName index="487" name="[mmmm].[ID].&amp;[488]"/>
            <x15:cachedUniqueName index="488" name="[mmmm].[ID].&amp;[489]"/>
            <x15:cachedUniqueName index="489" name="[mmmm].[ID].&amp;[490]"/>
            <x15:cachedUniqueName index="490" name="[mmmm].[ID].&amp;[491]"/>
            <x15:cachedUniqueName index="491" name="[mmmm].[ID].&amp;[492]"/>
            <x15:cachedUniqueName index="492" name="[mmmm].[ID].&amp;[493]"/>
            <x15:cachedUniqueName index="493" name="[mmmm].[ID].&amp;[494]"/>
            <x15:cachedUniqueName index="494" name="[mmmm].[ID].&amp;[495]"/>
            <x15:cachedUniqueName index="495" name="[mmmm].[ID].&amp;[496]"/>
            <x15:cachedUniqueName index="496" name="[mmmm].[ID].&amp;[497]"/>
            <x15:cachedUniqueName index="497" name="[mmmm].[ID].&amp;[498]"/>
            <x15:cachedUniqueName index="498" name="[mmmm].[ID].&amp;[499]"/>
            <x15:cachedUniqueName index="499" name="[mmmm].[ID].&amp;[500]"/>
            <x15:cachedUniqueName index="500" name="[mmmm].[ID].&amp;[501]"/>
            <x15:cachedUniqueName index="501" name="[mmmm].[ID].&amp;[502]"/>
            <x15:cachedUniqueName index="502" name="[mmmm].[ID].&amp;[503]"/>
            <x15:cachedUniqueName index="503" name="[mmmm].[ID].&amp;[504]"/>
            <x15:cachedUniqueName index="504" name="[mmmm].[ID].&amp;[505]"/>
            <x15:cachedUniqueName index="505" name="[mmmm].[ID].&amp;[506]"/>
            <x15:cachedUniqueName index="506" name="[mmmm].[ID].&amp;[507]"/>
            <x15:cachedUniqueName index="507" name="[mmmm].[ID].&amp;[508]"/>
            <x15:cachedUniqueName index="508" name="[mmmm].[ID].&amp;[509]"/>
            <x15:cachedUniqueName index="509" name="[mmmm].[ID].&amp;[510]"/>
            <x15:cachedUniqueName index="510" name="[mmmm].[ID].&amp;[511]"/>
            <x15:cachedUniqueName index="511" name="[mmmm].[ID].&amp;[512]"/>
            <x15:cachedUniqueName index="512" name="[mmmm].[ID].&amp;[513]"/>
            <x15:cachedUniqueName index="513" name="[mmmm].[ID].&amp;[514]"/>
            <x15:cachedUniqueName index="514" name="[mmmm].[ID].&amp;[515]"/>
            <x15:cachedUniqueName index="515" name="[mmmm].[ID].&amp;[516]"/>
            <x15:cachedUniqueName index="516" name="[mmmm].[ID].&amp;[517]"/>
            <x15:cachedUniqueName index="517" name="[mmmm].[ID].&amp;[518]"/>
            <x15:cachedUniqueName index="518" name="[mmmm].[ID].&amp;[519]"/>
            <x15:cachedUniqueName index="519" name="[mmmm].[ID].&amp;[520]"/>
            <x15:cachedUniqueName index="520" name="[mmmm].[ID].&amp;[521]"/>
            <x15:cachedUniqueName index="521" name="[mmmm].[ID].&amp;[522]"/>
            <x15:cachedUniqueName index="522" name="[mmmm].[ID].&amp;[523]"/>
            <x15:cachedUniqueName index="523" name="[mmmm].[ID].&amp;[524]"/>
            <x15:cachedUniqueName index="524" name="[mmmm].[ID].&amp;[525]"/>
            <x15:cachedUniqueName index="525" name="[mmmm].[ID].&amp;[526]"/>
            <x15:cachedUniqueName index="526" name="[mmmm].[ID].&amp;[527]"/>
            <x15:cachedUniqueName index="527" name="[mmmm].[ID].&amp;[528]"/>
            <x15:cachedUniqueName index="528" name="[mmmm].[ID].&amp;[529]"/>
            <x15:cachedUniqueName index="529" name="[mmmm].[ID].&amp;[530]"/>
            <x15:cachedUniqueName index="530" name="[mmmm].[ID].&amp;[531]"/>
            <x15:cachedUniqueName index="531" name="[mmmm].[ID].&amp;[532]"/>
            <x15:cachedUniqueName index="532" name="[mmmm].[ID].&amp;[533]"/>
            <x15:cachedUniqueName index="533" name="[mmmm].[ID].&amp;[534]"/>
            <x15:cachedUniqueName index="534" name="[mmmm].[ID].&amp;[535]"/>
            <x15:cachedUniqueName index="535" name="[mmmm].[ID].&amp;[536]"/>
            <x15:cachedUniqueName index="536" name="[mmmm].[ID].&amp;[537]"/>
            <x15:cachedUniqueName index="537" name="[mmmm].[ID].&amp;[538]"/>
            <x15:cachedUniqueName index="538" name="[mmmm].[ID].&amp;[539]"/>
            <x15:cachedUniqueName index="539" name="[mmmm].[ID].&amp;[540]"/>
            <x15:cachedUniqueName index="540" name="[mmmm].[ID].&amp;[541]"/>
            <x15:cachedUniqueName index="541" name="[mmmm].[ID].&amp;[542]"/>
            <x15:cachedUniqueName index="542" name="[mmmm].[ID].&amp;[543]"/>
            <x15:cachedUniqueName index="543" name="[mmmm].[ID].&amp;[544]"/>
            <x15:cachedUniqueName index="544" name="[mmmm].[ID].&amp;[545]"/>
            <x15:cachedUniqueName index="545" name="[mmmm].[ID].&amp;[546]"/>
            <x15:cachedUniqueName index="546" name="[mmmm].[ID].&amp;[547]"/>
            <x15:cachedUniqueName index="547" name="[mmmm].[ID].&amp;[548]"/>
            <x15:cachedUniqueName index="548" name="[mmmm].[ID].&amp;[549]"/>
            <x15:cachedUniqueName index="549" name="[mmmm].[ID].&amp;[550]"/>
            <x15:cachedUniqueName index="550" name="[mmmm].[ID].&amp;[551]"/>
            <x15:cachedUniqueName index="551" name="[mmmm].[ID].&amp;[552]"/>
            <x15:cachedUniqueName index="552" name="[mmmm].[ID].&amp;[553]"/>
            <x15:cachedUniqueName index="553" name="[mmmm].[ID].&amp;[554]"/>
            <x15:cachedUniqueName index="554" name="[mmmm].[ID].&amp;[555]"/>
            <x15:cachedUniqueName index="555" name="[mmmm].[ID].&amp;[556]"/>
            <x15:cachedUniqueName index="556" name="[mmmm].[ID].&amp;[557]"/>
            <x15:cachedUniqueName index="557" name="[mmmm].[ID].&amp;[558]"/>
            <x15:cachedUniqueName index="558" name="[mmmm].[ID].&amp;[559]"/>
            <x15:cachedUniqueName index="559" name="[mmmm].[ID].&amp;[560]"/>
            <x15:cachedUniqueName index="560" name="[mmmm].[ID].&amp;[561]"/>
            <x15:cachedUniqueName index="561" name="[mmmm].[ID].&amp;[562]"/>
            <x15:cachedUniqueName index="562" name="[mmmm].[ID].&amp;[563]"/>
            <x15:cachedUniqueName index="563" name="[mmmm].[ID].&amp;[564]"/>
            <x15:cachedUniqueName index="564" name="[mmmm].[ID].&amp;[565]"/>
            <x15:cachedUniqueName index="565" name="[mmmm].[ID].&amp;[566]"/>
            <x15:cachedUniqueName index="566" name="[mmmm].[ID].&amp;[567]"/>
            <x15:cachedUniqueName index="567" name="[mmmm].[ID].&amp;[568]"/>
            <x15:cachedUniqueName index="568" name="[mmmm].[ID].&amp;[569]"/>
            <x15:cachedUniqueName index="569" name="[mmmm].[ID].&amp;[570]"/>
            <x15:cachedUniqueName index="570" name="[mmmm].[ID].&amp;[571]"/>
            <x15:cachedUniqueName index="571" name="[mmmm].[ID].&amp;[572]"/>
            <x15:cachedUniqueName index="572" name="[mmmm].[ID].&amp;[573]"/>
            <x15:cachedUniqueName index="573" name="[mmmm].[ID].&amp;[574]"/>
            <x15:cachedUniqueName index="574" name="[mmmm].[ID].&amp;[575]"/>
            <x15:cachedUniqueName index="575" name="[mmmm].[ID].&amp;[576]"/>
            <x15:cachedUniqueName index="576" name="[mmmm].[ID].&amp;[577]"/>
            <x15:cachedUniqueName index="577" name="[mmmm].[ID].&amp;[578]"/>
            <x15:cachedUniqueName index="578" name="[mmmm].[ID].&amp;[579]"/>
            <x15:cachedUniqueName index="579" name="[mmmm].[ID].&amp;[580]"/>
            <x15:cachedUniqueName index="580" name="[mmmm].[ID].&amp;[581]"/>
            <x15:cachedUniqueName index="581" name="[mmmm].[ID].&amp;[582]"/>
            <x15:cachedUniqueName index="582" name="[mmmm].[ID].&amp;[583]"/>
            <x15:cachedUniqueName index="583" name="[mmmm].[ID].&amp;[584]"/>
            <x15:cachedUniqueName index="584" name="[mmmm].[ID].&amp;[585]"/>
            <x15:cachedUniqueName index="585" name="[mmmm].[ID].&amp;[586]"/>
            <x15:cachedUniqueName index="586" name="[mmmm].[ID].&amp;[587]"/>
            <x15:cachedUniqueName index="587" name="[mmmm].[ID].&amp;[588]"/>
            <x15:cachedUniqueName index="588" name="[mmmm].[ID].&amp;[589]"/>
            <x15:cachedUniqueName index="589" name="[mmmm].[ID].&amp;[590]"/>
            <x15:cachedUniqueName index="590" name="[mmmm].[ID].&amp;[591]"/>
            <x15:cachedUniqueName index="591" name="[mmmm].[ID].&amp;[592]"/>
            <x15:cachedUniqueName index="592" name="[mmmm].[ID].&amp;[593]"/>
            <x15:cachedUniqueName index="593" name="[mmmm].[ID].&amp;[594]"/>
            <x15:cachedUniqueName index="594" name="[mmmm].[ID].&amp;[595]"/>
            <x15:cachedUniqueName index="595" name="[mmmm].[ID].&amp;[596]"/>
            <x15:cachedUniqueName index="596" name="[mmmm].[ID].&amp;[597]"/>
            <x15:cachedUniqueName index="597" name="[mmmm].[ID].&amp;[598]"/>
            <x15:cachedUniqueName index="598" name="[mmmm].[ID].&amp;[599]"/>
            <x15:cachedUniqueName index="599" name="[mmmm].[ID].&amp;[600]"/>
            <x15:cachedUniqueName index="600" name="[mmmm].[ID].&amp;[601]"/>
            <x15:cachedUniqueName index="601" name="[mmmm].[ID].&amp;[602]"/>
            <x15:cachedUniqueName index="602" name="[mmmm].[ID].&amp;[603]"/>
            <x15:cachedUniqueName index="603" name="[mmmm].[ID].&amp;[604]"/>
            <x15:cachedUniqueName index="604" name="[mmmm].[ID].&amp;[605]"/>
            <x15:cachedUniqueName index="605" name="[mmmm].[ID].&amp;[606]"/>
            <x15:cachedUniqueName index="606" name="[mmmm].[ID].&amp;[607]"/>
            <x15:cachedUniqueName index="607" name="[mmmm].[ID].&amp;[608]"/>
            <x15:cachedUniqueName index="608" name="[mmmm].[ID].&amp;[609]"/>
            <x15:cachedUniqueName index="609" name="[mmmm].[ID].&amp;[610]"/>
            <x15:cachedUniqueName index="610" name="[mmmm].[ID].&amp;[611]"/>
            <x15:cachedUniqueName index="611" name="[mmmm].[ID].&amp;[612]"/>
            <x15:cachedUniqueName index="612" name="[mmmm].[ID].&amp;[613]"/>
            <x15:cachedUniqueName index="613" name="[mmmm].[ID].&amp;[614]"/>
            <x15:cachedUniqueName index="614" name="[mmmm].[ID].&amp;[615]"/>
            <x15:cachedUniqueName index="615" name="[mmmm].[ID].&amp;[616]"/>
            <x15:cachedUniqueName index="616" name="[mmmm].[ID].&amp;[617]"/>
            <x15:cachedUniqueName index="617" name="[mmmm].[ID].&amp;[618]"/>
            <x15:cachedUniqueName index="618" name="[mmmm].[ID].&amp;[619]"/>
            <x15:cachedUniqueName index="619" name="[mmmm].[ID].&amp;[620]"/>
            <x15:cachedUniqueName index="620" name="[mmmm].[ID].&amp;[621]"/>
            <x15:cachedUniqueName index="621" name="[mmmm].[ID].&amp;[622]"/>
            <x15:cachedUniqueName index="622" name="[mmmm].[ID].&amp;[623]"/>
            <x15:cachedUniqueName index="623" name="[mmmm].[ID].&amp;[624]"/>
            <x15:cachedUniqueName index="624" name="[mmmm].[ID].&amp;[625]"/>
            <x15:cachedUniqueName index="625" name="[mmmm].[ID].&amp;[626]"/>
            <x15:cachedUniqueName index="626" name="[mmmm].[ID].&amp;[627]"/>
            <x15:cachedUniqueName index="627" name="[mmmm].[ID].&amp;[628]"/>
            <x15:cachedUniqueName index="628" name="[mmmm].[ID].&amp;[629]"/>
            <x15:cachedUniqueName index="629" name="[mmmm].[ID].&amp;[630]"/>
            <x15:cachedUniqueName index="630" name="[mmmm].[ID].&amp;[631]"/>
            <x15:cachedUniqueName index="631" name="[mmmm].[ID].&amp;[632]"/>
            <x15:cachedUniqueName index="632" name="[mmmm].[ID].&amp;[633]"/>
            <x15:cachedUniqueName index="633" name="[mmmm].[ID].&amp;[634]"/>
            <x15:cachedUniqueName index="634" name="[mmmm].[ID].&amp;[635]"/>
            <x15:cachedUniqueName index="635" name="[mmmm].[ID].&amp;[636]"/>
            <x15:cachedUniqueName index="636" name="[mmmm].[ID].&amp;[637]"/>
            <x15:cachedUniqueName index="637" name="[mmmm].[ID].&amp;[638]"/>
            <x15:cachedUniqueName index="638" name="[mmmm].[ID].&amp;[639]"/>
            <x15:cachedUniqueName index="639" name="[mmmm].[ID].&amp;[640]"/>
            <x15:cachedUniqueName index="640" name="[mmmm].[ID].&amp;[641]"/>
            <x15:cachedUniqueName index="641" name="[mmmm].[ID].&amp;[642]"/>
            <x15:cachedUniqueName index="642" name="[mmmm].[ID].&amp;[643]"/>
            <x15:cachedUniqueName index="643" name="[mmmm].[ID].&amp;[644]"/>
            <x15:cachedUniqueName index="644" name="[mmmm].[ID].&amp;[645]"/>
            <x15:cachedUniqueName index="645" name="[mmmm].[ID].&amp;[646]"/>
            <x15:cachedUniqueName index="646" name="[mmmm].[ID].&amp;[647]"/>
            <x15:cachedUniqueName index="647" name="[mmmm].[ID].&amp;[648]"/>
            <x15:cachedUniqueName index="648" name="[mmmm].[ID].&amp;[649]"/>
            <x15:cachedUniqueName index="649" name="[mmmm].[ID].&amp;[650]"/>
            <x15:cachedUniqueName index="650" name="[mmmm].[ID].&amp;[651]"/>
            <x15:cachedUniqueName index="651" name="[mmmm].[ID].&amp;[652]"/>
            <x15:cachedUniqueName index="652" name="[mmmm].[ID].&amp;[653]"/>
            <x15:cachedUniqueName index="653" name="[mmmm].[ID].&amp;[654]"/>
            <x15:cachedUniqueName index="654" name="[mmmm].[ID].&amp;[655]"/>
            <x15:cachedUniqueName index="655" name="[mmmm].[ID].&amp;[656]"/>
            <x15:cachedUniqueName index="656" name="[mmmm].[ID].&amp;[657]"/>
            <x15:cachedUniqueName index="657" name="[mmmm].[ID].&amp;[658]"/>
            <x15:cachedUniqueName index="658" name="[mmmm].[ID].&amp;[659]"/>
            <x15:cachedUniqueName index="659" name="[mmmm].[ID].&amp;[660]"/>
            <x15:cachedUniqueName index="660" name="[mmmm].[ID].&amp;[661]"/>
            <x15:cachedUniqueName index="661" name="[mmmm].[ID].&amp;[662]"/>
            <x15:cachedUniqueName index="662" name="[mmmm].[ID].&amp;[663]"/>
            <x15:cachedUniqueName index="663" name="[mmmm].[ID].&amp;[664]"/>
            <x15:cachedUniqueName index="664" name="[mmmm].[ID].&amp;[665]"/>
            <x15:cachedUniqueName index="665" name="[mmmm].[ID].&amp;[666]"/>
            <x15:cachedUniqueName index="666" name="[mmmm].[ID].&amp;[667]"/>
            <x15:cachedUniqueName index="667" name="[mmmm].[ID].&amp;[668]"/>
            <x15:cachedUniqueName index="668" name="[mmmm].[ID].&amp;[669]"/>
            <x15:cachedUniqueName index="669" name="[mmmm].[ID].&amp;[670]"/>
            <x15:cachedUniqueName index="670" name="[mmmm].[ID].&amp;[671]"/>
            <x15:cachedUniqueName index="671" name="[mmmm].[ID].&amp;[672]"/>
            <x15:cachedUniqueName index="672" name="[mmmm].[ID].&amp;[673]"/>
            <x15:cachedUniqueName index="673" name="[mmmm].[ID].&amp;[674]"/>
            <x15:cachedUniqueName index="674" name="[mmmm].[ID].&amp;[675]"/>
            <x15:cachedUniqueName index="675" name="[mmmm].[ID].&amp;[676]"/>
            <x15:cachedUniqueName index="676" name="[mmmm].[ID].&amp;[677]"/>
            <x15:cachedUniqueName index="677" name="[mmmm].[ID].&amp;[678]"/>
            <x15:cachedUniqueName index="678" name="[mmmm].[ID].&amp;[679]"/>
            <x15:cachedUniqueName index="679" name="[mmmm].[ID].&amp;[680]"/>
            <x15:cachedUniqueName index="680" name="[mmmm].[ID].&amp;[681]"/>
            <x15:cachedUniqueName index="681" name="[mmmm].[ID].&amp;[682]"/>
            <x15:cachedUniqueName index="682" name="[mmmm].[ID].&amp;[683]"/>
            <x15:cachedUniqueName index="683" name="[mmmm].[ID].&amp;[684]"/>
            <x15:cachedUniqueName index="684" name="[mmmm].[ID].&amp;[685]"/>
            <x15:cachedUniqueName index="685" name="[mmmm].[ID].&amp;[686]"/>
            <x15:cachedUniqueName index="686" name="[mmmm].[ID].&amp;[687]"/>
            <x15:cachedUniqueName index="687" name="[mmmm].[ID].&amp;[688]"/>
            <x15:cachedUniqueName index="688" name="[mmmm].[ID].&amp;[689]"/>
          </x15:cachedUniqueNames>
        </ext>
      </extLst>
    </cacheField>
    <cacheField name="[mmmm].[Department].[Department]" caption="Department" numFmtId="0" hierarchy="7" level="1">
      <sharedItems containsSemiMixedTypes="0" containsNonDate="0" containsString="0"/>
    </cacheField>
  </cacheFields>
  <cacheHierarchies count="39">
    <cacheHierarchy uniqueName="[mmmm].[ID]" caption="ID" attribute="1" defaultMemberUniqueName="[mmmm].[ID].[All]" allUniqueName="[mmmm].[ID].[All]" dimensionUniqueName="[mmmm]" displayFolder="" count="2" memberValueDatatype="20" unbalanced="0">
      <fieldsUsage count="2">
        <fieldUsage x="-1"/>
        <fieldUsage x="1"/>
      </fieldsUsage>
    </cacheHierarchy>
    <cacheHierarchy uniqueName="[mmmm].[First Name]" caption="First Name" attribute="1" defaultMemberUniqueName="[mmmm].[First Name].[All]" allUniqueName="[mmmm].[First Name].[All]" dimensionUniqueName="[mmmm]" displayFolder="" count="0" memberValueDatatype="130" unbalanced="0"/>
    <cacheHierarchy uniqueName="[mmmm].[Last Name]" caption="Last Name" attribute="1" defaultMemberUniqueName="[mmmm].[Last Name].[All]" allUniqueName="[mmmm].[Last Name].[All]" dimensionUniqueName="[mmmm]" displayFolder="" count="0" memberValueDatatype="130" unbalanced="0"/>
    <cacheHierarchy uniqueName="[mmmm].[Empolyee name]" caption="Empolyee name" attribute="1" defaultMemberUniqueName="[mmmm].[Empolyee name].[All]" allUniqueName="[mmmm].[Empolyee name].[All]" dimensionUniqueName="[mmmm]" displayFolder="" count="0" memberValueDatatype="130" unbalanced="0"/>
    <cacheHierarchy uniqueName="[mmmm].[Gender]" caption="Gender" attribute="1" defaultMemberUniqueName="[mmmm].[Gender].[All]" allUniqueName="[mmmm].[Gender].[All]" dimensionUniqueName="[mmmm]" displayFolder="" count="0" memberValueDatatype="130" unbalanced="0"/>
    <cacheHierarchy uniqueName="[mmmm].[Start Date]" caption="Start Date" attribute="1" time="1" defaultMemberUniqueName="[mmmm].[Start Date].[All]" allUniqueName="[mmmm].[Start Date].[All]" dimensionUniqueName="[mmmm]" displayFolder="" count="0" memberValueDatatype="7" unbalanced="0"/>
    <cacheHierarchy uniqueName="[mmmm].[Years]" caption="Years" attribute="1" defaultMemberUniqueName="[mmmm].[Years].[All]" allUniqueName="[mmmm].[Years].[All]" dimensionUniqueName="[mmmm]" displayFolder="" count="0" memberValueDatatype="20" unbalanced="0"/>
    <cacheHierarchy uniqueName="[mmmm].[Department]" caption="Department" attribute="1" defaultMemberUniqueName="[mmmm].[Department].[All]" allUniqueName="[mmmm].[Department].[All]" dimensionUniqueName="[mmmm]" displayFolder="" count="2" memberValueDatatype="130" unbalanced="0">
      <fieldsUsage count="2">
        <fieldUsage x="-1"/>
        <fieldUsage x="2"/>
      </fieldsUsage>
    </cacheHierarchy>
    <cacheHierarchy uniqueName="[mmmm].[Country]" caption="Country" attribute="1" defaultMemberUniqueName="[mmmm].[Country].[All]" allUniqueName="[mmmm].[Country].[All]" dimensionUniqueName="[mmmm]" displayFolder="" count="2" memberValueDatatype="130" unbalanced="0"/>
    <cacheHierarchy uniqueName="[mmmm].[Center]" caption="Center" attribute="1" defaultMemberUniqueName="[mmmm].[Center].[All]" allUniqueName="[mmmm].[Center].[All]" dimensionUniqueName="[mmmm]" displayFolder="" count="0" memberValueDatatype="130" unbalanced="0"/>
    <cacheHierarchy uniqueName="[mmmm].[Monthly Salary]" caption="Monthly Salary" attribute="1" defaultMemberUniqueName="[mmmm].[Monthly Salary].[All]" allUniqueName="[mmmm].[Monthly Salary].[All]" dimensionUniqueName="[mmmm]" displayFolder="" count="0" memberValueDatatype="20" unbalanced="0"/>
    <cacheHierarchy uniqueName="[mmmm].[Annual Salary]" caption="Annual Salary" attribute="1" defaultMemberUniqueName="[mmmm].[Annual Salary].[All]" allUniqueName="[mmmm].[Annual Salary].[All]" dimensionUniqueName="[mmmm]" displayFolder="" count="0" memberValueDatatype="20" unbalanced="0"/>
    <cacheHierarchy uniqueName="[mmmm].[Job Rate]" caption="Job Rate" attribute="1" defaultMemberUniqueName="[mmmm].[Job Rate].[All]" allUniqueName="[mmmm].[Job Rate].[All]" dimensionUniqueName="[mmmm]" displayFolder="" count="0" memberValueDatatype="5" unbalanced="0"/>
    <cacheHierarchy uniqueName="[mmmm].[Sick Leaves]" caption="Sick Leaves" attribute="1" defaultMemberUniqueName="[mmmm].[Sick Leaves].[All]" allUniqueName="[mmmm].[Sick Leaves].[All]" dimensionUniqueName="[mmmm]" displayFolder="" count="0" memberValueDatatype="20" unbalanced="0"/>
    <cacheHierarchy uniqueName="[mmmm].[Unpaid Leaves]" caption="Unpaid Leaves" attribute="1" defaultMemberUniqueName="[mmmm].[Unpaid Leaves].[All]" allUniqueName="[mmmm].[Unpaid Leaves].[All]" dimensionUniqueName="[mmmm]" displayFolder="" count="0" memberValueDatatype="20" unbalanced="0"/>
    <cacheHierarchy uniqueName="[mmmm].[Overtime Hours]" caption="Overtime Hours" attribute="1" defaultMemberUniqueName="[mmmm].[Overtime Hours].[All]" allUniqueName="[mmmm].[Overtime Hours].[All]" dimensionUniqueName="[mmmm]" displayFolder="" count="0" memberValueDatatype="20" unbalanced="0"/>
    <cacheHierarchy uniqueName="[mmmm].[Start Date (Year)]" caption="Start Date (Year)" attribute="1" defaultMemberUniqueName="[mmmm].[Start Date (Year)].[All]" allUniqueName="[mmmm].[Start Date (Year)].[All]" dimensionUniqueName="[mmmm]" displayFolder="" count="0" memberValueDatatype="130" unbalanced="0"/>
    <cacheHierarchy uniqueName="[mmmm].[Start Date (Quarter)]" caption="Start Date (Quarter)" attribute="1" defaultMemberUniqueName="[mmmm].[Start Date (Quarter)].[All]" allUniqueName="[mmmm].[Start Date (Quarter)].[All]" dimensionUniqueName="[mmmm]" displayFolder="" count="0" memberValueDatatype="130" unbalanced="0"/>
    <cacheHierarchy uniqueName="[mmmm].[Start Date (Month)]" caption="Start Date (Month)" attribute="1" defaultMemberUniqueName="[mmmm].[Start Date (Month)].[All]" allUniqueName="[mmmm].[Start Date (Month)].[All]" dimensionUniqueName="[mmmm]" displayFolder="" count="0" memberValueDatatype="130" unbalanced="0"/>
    <cacheHierarchy uniqueName="[mmmm].[Start Date (Month Index)]" caption="Start Date (Month Index)" attribute="1" defaultMemberUniqueName="[mmmm].[Start Date (Month Index)].[All]" allUniqueName="[mmmm].[Start Date (Month Index)].[All]" dimensionUniqueName="[mmmm]" displayFolder="" count="0" memberValueDatatype="20" unbalanced="0" hidden="1"/>
    <cacheHierarchy uniqueName="[Measures].[__XL_Count mmmm]" caption="__XL_Count mmmm" measure="1" displayFolder="" measureGroup="mmmm" count="0" hidden="1"/>
    <cacheHierarchy uniqueName="[Measures].[__No measures defined]" caption="__No measures defined" measure="1" displayFolder="" count="0" hidden="1"/>
    <cacheHierarchy uniqueName="[Measures].[Sum of ID]" caption="Sum of ID" measure="1" displayFolder="" measureGroup="mmmm"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mmmm"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mmmm"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mmmm"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mmmm" count="0" hidden="1">
      <extLst>
        <ext xmlns:x15="http://schemas.microsoft.com/office/spreadsheetml/2010/11/main" uri="{B97F6D7D-B522-45F9-BDA1-12C45D357490}">
          <x15:cacheHierarchy aggregatedColumn="10"/>
        </ext>
      </extLst>
    </cacheHierarchy>
    <cacheHierarchy uniqueName="[Measures].[Sum of Unpaid Leaves]" caption="Sum of Unpaid Leaves" measure="1" displayFolder="" measureGroup="mmmm"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mmmm"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mmmm" count="0" hidden="1">
      <extLst>
        <ext xmlns:x15="http://schemas.microsoft.com/office/spreadsheetml/2010/11/main" uri="{B97F6D7D-B522-45F9-BDA1-12C45D357490}">
          <x15:cacheHierarchy aggregatedColumn="15"/>
        </ext>
      </extLst>
    </cacheHierarchy>
    <cacheHierarchy uniqueName="[Measures].[Sum of Annual Salary]" caption="Sum of Annual Salary" measure="1" displayFolder="" measureGroup="mmmm" count="0" hidden="1">
      <extLst>
        <ext xmlns:x15="http://schemas.microsoft.com/office/spreadsheetml/2010/11/main" uri="{B97F6D7D-B522-45F9-BDA1-12C45D357490}">
          <x15:cacheHierarchy aggregatedColumn="11"/>
        </ext>
      </extLst>
    </cacheHierarchy>
    <cacheHierarchy uniqueName="[Measures].[Average of Annual Salary]" caption="Average of Annual Salary" measure="1" displayFolder="" measureGroup="mmmm"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mmmm" count="0" hidden="1">
      <extLst>
        <ext xmlns:x15="http://schemas.microsoft.com/office/spreadsheetml/2010/11/main" uri="{B97F6D7D-B522-45F9-BDA1-12C45D357490}">
          <x15:cacheHierarchy aggregatedColumn="12"/>
        </ext>
      </extLst>
    </cacheHierarchy>
    <cacheHierarchy uniqueName="[Measures].[Sum of Years]" caption="Sum of Years" measure="1" displayFolder="" measureGroup="mmmm" count="0" hidden="1">
      <extLst>
        <ext xmlns:x15="http://schemas.microsoft.com/office/spreadsheetml/2010/11/main" uri="{B97F6D7D-B522-45F9-BDA1-12C45D357490}">
          <x15:cacheHierarchy aggregatedColumn="6"/>
        </ext>
      </extLst>
    </cacheHierarchy>
    <cacheHierarchy uniqueName="[Measures].[Average of Sick Leaves]" caption="Average of Sick Leaves" measure="1" displayFolder="" measureGroup="mmmm"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mmmm" count="0" hidden="1">
      <extLst>
        <ext xmlns:x15="http://schemas.microsoft.com/office/spreadsheetml/2010/11/main" uri="{B97F6D7D-B522-45F9-BDA1-12C45D357490}">
          <x15:cacheHierarchy aggregatedColumn="14"/>
        </ext>
      </extLst>
    </cacheHierarchy>
    <cacheHierarchy uniqueName="[Measures].[Average of Job Rate]" caption="Average of Job Rate" measure="1" displayFolder="" measureGroup="mmmm" count="0" oneField="1" hidden="1">
      <fieldsUsage count="1">
        <fieldUsage x="0"/>
      </fieldsUsage>
      <extLst>
        <ext xmlns:x15="http://schemas.microsoft.com/office/spreadsheetml/2010/11/main" uri="{B97F6D7D-B522-45F9-BDA1-12C45D357490}">
          <x15:cacheHierarchy aggregatedColumn="12"/>
        </ext>
      </extLst>
    </cacheHierarchy>
    <cacheHierarchy uniqueName="[Measures].[Average of Years]" caption="Average of Years" measure="1" displayFolder="" measureGroup="mmmm" count="0" hidden="1">
      <extLst>
        <ext xmlns:x15="http://schemas.microsoft.com/office/spreadsheetml/2010/11/main" uri="{B97F6D7D-B522-45F9-BDA1-12C45D357490}">
          <x15:cacheHierarchy aggregatedColumn="6"/>
        </ext>
      </extLst>
    </cacheHierarchy>
    <cacheHierarchy uniqueName="[Measures].[Average of ID]" caption="Average of ID" measure="1" displayFolder="" measureGroup="mmmm"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mmm" uniqueName="[mmmm]" caption="mmmm"/>
  </dimensions>
  <measureGroups count="1">
    <measureGroup name="mmmm" caption="mmmm"/>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353691550925" backgroundQuery="1" createdVersion="8" refreshedVersion="8" minRefreshableVersion="3" recordCount="0" supportSubquery="1" supportAdvancedDrill="1" xr:uid="{1BB9F925-06E0-4AF5-9ADB-A41EC32EBC56}">
  <cacheSource type="external" connectionId="2"/>
  <cacheFields count="3">
    <cacheField name="[mmmm].[ID].[ID]" caption="ID" numFmtId="0" level="1">
      <sharedItems containsSemiMixedTypes="0" containsString="0" containsNumber="1" containsInteger="1" minValue="1" maxValue="689" count="68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sharedItems>
      <extLst>
        <ext xmlns:x15="http://schemas.microsoft.com/office/spreadsheetml/2010/11/main" uri="{4F2E5C28-24EA-4eb8-9CBF-B6C8F9C3D259}">
          <x15:cachedUniqueNames>
            <x15:cachedUniqueName index="0" name="[mmmm].[ID].&amp;[1]"/>
            <x15:cachedUniqueName index="1" name="[mmmm].[ID].&amp;[2]"/>
            <x15:cachedUniqueName index="2" name="[mmmm].[ID].&amp;[3]"/>
            <x15:cachedUniqueName index="3" name="[mmmm].[ID].&amp;[4]"/>
            <x15:cachedUniqueName index="4" name="[mmmm].[ID].&amp;[5]"/>
            <x15:cachedUniqueName index="5" name="[mmmm].[ID].&amp;[6]"/>
            <x15:cachedUniqueName index="6" name="[mmmm].[ID].&amp;[7]"/>
            <x15:cachedUniqueName index="7" name="[mmmm].[ID].&amp;[8]"/>
            <x15:cachedUniqueName index="8" name="[mmmm].[ID].&amp;[9]"/>
            <x15:cachedUniqueName index="9" name="[mmmm].[ID].&amp;[10]"/>
            <x15:cachedUniqueName index="10" name="[mmmm].[ID].&amp;[11]"/>
            <x15:cachedUniqueName index="11" name="[mmmm].[ID].&amp;[12]"/>
            <x15:cachedUniqueName index="12" name="[mmmm].[ID].&amp;[13]"/>
            <x15:cachedUniqueName index="13" name="[mmmm].[ID].&amp;[14]"/>
            <x15:cachedUniqueName index="14" name="[mmmm].[ID].&amp;[15]"/>
            <x15:cachedUniqueName index="15" name="[mmmm].[ID].&amp;[16]"/>
            <x15:cachedUniqueName index="16" name="[mmmm].[ID].&amp;[17]"/>
            <x15:cachedUniqueName index="17" name="[mmmm].[ID].&amp;[18]"/>
            <x15:cachedUniqueName index="18" name="[mmmm].[ID].&amp;[19]"/>
            <x15:cachedUniqueName index="19" name="[mmmm].[ID].&amp;[20]"/>
            <x15:cachedUniqueName index="20" name="[mmmm].[ID].&amp;[21]"/>
            <x15:cachedUniqueName index="21" name="[mmmm].[ID].&amp;[22]"/>
            <x15:cachedUniqueName index="22" name="[mmmm].[ID].&amp;[23]"/>
            <x15:cachedUniqueName index="23" name="[mmmm].[ID].&amp;[24]"/>
            <x15:cachedUniqueName index="24" name="[mmmm].[ID].&amp;[25]"/>
            <x15:cachedUniqueName index="25" name="[mmmm].[ID].&amp;[26]"/>
            <x15:cachedUniqueName index="26" name="[mmmm].[ID].&amp;[27]"/>
            <x15:cachedUniqueName index="27" name="[mmmm].[ID].&amp;[28]"/>
            <x15:cachedUniqueName index="28" name="[mmmm].[ID].&amp;[29]"/>
            <x15:cachedUniqueName index="29" name="[mmmm].[ID].&amp;[30]"/>
            <x15:cachedUniqueName index="30" name="[mmmm].[ID].&amp;[31]"/>
            <x15:cachedUniqueName index="31" name="[mmmm].[ID].&amp;[32]"/>
            <x15:cachedUniqueName index="32" name="[mmmm].[ID].&amp;[33]"/>
            <x15:cachedUniqueName index="33" name="[mmmm].[ID].&amp;[34]"/>
            <x15:cachedUniqueName index="34" name="[mmmm].[ID].&amp;[35]"/>
            <x15:cachedUniqueName index="35" name="[mmmm].[ID].&amp;[36]"/>
            <x15:cachedUniqueName index="36" name="[mmmm].[ID].&amp;[37]"/>
            <x15:cachedUniqueName index="37" name="[mmmm].[ID].&amp;[38]"/>
            <x15:cachedUniqueName index="38" name="[mmmm].[ID].&amp;[39]"/>
            <x15:cachedUniqueName index="39" name="[mmmm].[ID].&amp;[40]"/>
            <x15:cachedUniqueName index="40" name="[mmmm].[ID].&amp;[41]"/>
            <x15:cachedUniqueName index="41" name="[mmmm].[ID].&amp;[42]"/>
            <x15:cachedUniqueName index="42" name="[mmmm].[ID].&amp;[43]"/>
            <x15:cachedUniqueName index="43" name="[mmmm].[ID].&amp;[44]"/>
            <x15:cachedUniqueName index="44" name="[mmmm].[ID].&amp;[45]"/>
            <x15:cachedUniqueName index="45" name="[mmmm].[ID].&amp;[46]"/>
            <x15:cachedUniqueName index="46" name="[mmmm].[ID].&amp;[47]"/>
            <x15:cachedUniqueName index="47" name="[mmmm].[ID].&amp;[48]"/>
            <x15:cachedUniqueName index="48" name="[mmmm].[ID].&amp;[49]"/>
            <x15:cachedUniqueName index="49" name="[mmmm].[ID].&amp;[50]"/>
            <x15:cachedUniqueName index="50" name="[mmmm].[ID].&amp;[51]"/>
            <x15:cachedUniqueName index="51" name="[mmmm].[ID].&amp;[52]"/>
            <x15:cachedUniqueName index="52" name="[mmmm].[ID].&amp;[53]"/>
            <x15:cachedUniqueName index="53" name="[mmmm].[ID].&amp;[54]"/>
            <x15:cachedUniqueName index="54" name="[mmmm].[ID].&amp;[55]"/>
            <x15:cachedUniqueName index="55" name="[mmmm].[ID].&amp;[56]"/>
            <x15:cachedUniqueName index="56" name="[mmmm].[ID].&amp;[57]"/>
            <x15:cachedUniqueName index="57" name="[mmmm].[ID].&amp;[58]"/>
            <x15:cachedUniqueName index="58" name="[mmmm].[ID].&amp;[59]"/>
            <x15:cachedUniqueName index="59" name="[mmmm].[ID].&amp;[60]"/>
            <x15:cachedUniqueName index="60" name="[mmmm].[ID].&amp;[61]"/>
            <x15:cachedUniqueName index="61" name="[mmmm].[ID].&amp;[62]"/>
            <x15:cachedUniqueName index="62" name="[mmmm].[ID].&amp;[63]"/>
            <x15:cachedUniqueName index="63" name="[mmmm].[ID].&amp;[64]"/>
            <x15:cachedUniqueName index="64" name="[mmmm].[ID].&amp;[65]"/>
            <x15:cachedUniqueName index="65" name="[mmmm].[ID].&amp;[66]"/>
            <x15:cachedUniqueName index="66" name="[mmmm].[ID].&amp;[67]"/>
            <x15:cachedUniqueName index="67" name="[mmmm].[ID].&amp;[68]"/>
            <x15:cachedUniqueName index="68" name="[mmmm].[ID].&amp;[69]"/>
            <x15:cachedUniqueName index="69" name="[mmmm].[ID].&amp;[70]"/>
            <x15:cachedUniqueName index="70" name="[mmmm].[ID].&amp;[71]"/>
            <x15:cachedUniqueName index="71" name="[mmmm].[ID].&amp;[72]"/>
            <x15:cachedUniqueName index="72" name="[mmmm].[ID].&amp;[73]"/>
            <x15:cachedUniqueName index="73" name="[mmmm].[ID].&amp;[74]"/>
            <x15:cachedUniqueName index="74" name="[mmmm].[ID].&amp;[75]"/>
            <x15:cachedUniqueName index="75" name="[mmmm].[ID].&amp;[76]"/>
            <x15:cachedUniqueName index="76" name="[mmmm].[ID].&amp;[77]"/>
            <x15:cachedUniqueName index="77" name="[mmmm].[ID].&amp;[78]"/>
            <x15:cachedUniqueName index="78" name="[mmmm].[ID].&amp;[79]"/>
            <x15:cachedUniqueName index="79" name="[mmmm].[ID].&amp;[80]"/>
            <x15:cachedUniqueName index="80" name="[mmmm].[ID].&amp;[81]"/>
            <x15:cachedUniqueName index="81" name="[mmmm].[ID].&amp;[82]"/>
            <x15:cachedUniqueName index="82" name="[mmmm].[ID].&amp;[83]"/>
            <x15:cachedUniqueName index="83" name="[mmmm].[ID].&amp;[84]"/>
            <x15:cachedUniqueName index="84" name="[mmmm].[ID].&amp;[85]"/>
            <x15:cachedUniqueName index="85" name="[mmmm].[ID].&amp;[86]"/>
            <x15:cachedUniqueName index="86" name="[mmmm].[ID].&amp;[87]"/>
            <x15:cachedUniqueName index="87" name="[mmmm].[ID].&amp;[88]"/>
            <x15:cachedUniqueName index="88" name="[mmmm].[ID].&amp;[89]"/>
            <x15:cachedUniqueName index="89" name="[mmmm].[ID].&amp;[90]"/>
            <x15:cachedUniqueName index="90" name="[mmmm].[ID].&amp;[91]"/>
            <x15:cachedUniqueName index="91" name="[mmmm].[ID].&amp;[92]"/>
            <x15:cachedUniqueName index="92" name="[mmmm].[ID].&amp;[93]"/>
            <x15:cachedUniqueName index="93" name="[mmmm].[ID].&amp;[94]"/>
            <x15:cachedUniqueName index="94" name="[mmmm].[ID].&amp;[95]"/>
            <x15:cachedUniqueName index="95" name="[mmmm].[ID].&amp;[96]"/>
            <x15:cachedUniqueName index="96" name="[mmmm].[ID].&amp;[97]"/>
            <x15:cachedUniqueName index="97" name="[mmmm].[ID].&amp;[98]"/>
            <x15:cachedUniqueName index="98" name="[mmmm].[ID].&amp;[99]"/>
            <x15:cachedUniqueName index="99" name="[mmmm].[ID].&amp;[100]"/>
            <x15:cachedUniqueName index="100" name="[mmmm].[ID].&amp;[101]"/>
            <x15:cachedUniqueName index="101" name="[mmmm].[ID].&amp;[102]"/>
            <x15:cachedUniqueName index="102" name="[mmmm].[ID].&amp;[103]"/>
            <x15:cachedUniqueName index="103" name="[mmmm].[ID].&amp;[104]"/>
            <x15:cachedUniqueName index="104" name="[mmmm].[ID].&amp;[105]"/>
            <x15:cachedUniqueName index="105" name="[mmmm].[ID].&amp;[106]"/>
            <x15:cachedUniqueName index="106" name="[mmmm].[ID].&amp;[107]"/>
            <x15:cachedUniqueName index="107" name="[mmmm].[ID].&amp;[108]"/>
            <x15:cachedUniqueName index="108" name="[mmmm].[ID].&amp;[109]"/>
            <x15:cachedUniqueName index="109" name="[mmmm].[ID].&amp;[110]"/>
            <x15:cachedUniqueName index="110" name="[mmmm].[ID].&amp;[111]"/>
            <x15:cachedUniqueName index="111" name="[mmmm].[ID].&amp;[112]"/>
            <x15:cachedUniqueName index="112" name="[mmmm].[ID].&amp;[113]"/>
            <x15:cachedUniqueName index="113" name="[mmmm].[ID].&amp;[114]"/>
            <x15:cachedUniqueName index="114" name="[mmmm].[ID].&amp;[115]"/>
            <x15:cachedUniqueName index="115" name="[mmmm].[ID].&amp;[116]"/>
            <x15:cachedUniqueName index="116" name="[mmmm].[ID].&amp;[117]"/>
            <x15:cachedUniqueName index="117" name="[mmmm].[ID].&amp;[118]"/>
            <x15:cachedUniqueName index="118" name="[mmmm].[ID].&amp;[119]"/>
            <x15:cachedUniqueName index="119" name="[mmmm].[ID].&amp;[120]"/>
            <x15:cachedUniqueName index="120" name="[mmmm].[ID].&amp;[121]"/>
            <x15:cachedUniqueName index="121" name="[mmmm].[ID].&amp;[122]"/>
            <x15:cachedUniqueName index="122" name="[mmmm].[ID].&amp;[123]"/>
            <x15:cachedUniqueName index="123" name="[mmmm].[ID].&amp;[124]"/>
            <x15:cachedUniqueName index="124" name="[mmmm].[ID].&amp;[125]"/>
            <x15:cachedUniqueName index="125" name="[mmmm].[ID].&amp;[126]"/>
            <x15:cachedUniqueName index="126" name="[mmmm].[ID].&amp;[127]"/>
            <x15:cachedUniqueName index="127" name="[mmmm].[ID].&amp;[128]"/>
            <x15:cachedUniqueName index="128" name="[mmmm].[ID].&amp;[129]"/>
            <x15:cachedUniqueName index="129" name="[mmmm].[ID].&amp;[130]"/>
            <x15:cachedUniqueName index="130" name="[mmmm].[ID].&amp;[131]"/>
            <x15:cachedUniqueName index="131" name="[mmmm].[ID].&amp;[132]"/>
            <x15:cachedUniqueName index="132" name="[mmmm].[ID].&amp;[133]"/>
            <x15:cachedUniqueName index="133" name="[mmmm].[ID].&amp;[134]"/>
            <x15:cachedUniqueName index="134" name="[mmmm].[ID].&amp;[135]"/>
            <x15:cachedUniqueName index="135" name="[mmmm].[ID].&amp;[136]"/>
            <x15:cachedUniqueName index="136" name="[mmmm].[ID].&amp;[137]"/>
            <x15:cachedUniqueName index="137" name="[mmmm].[ID].&amp;[138]"/>
            <x15:cachedUniqueName index="138" name="[mmmm].[ID].&amp;[139]"/>
            <x15:cachedUniqueName index="139" name="[mmmm].[ID].&amp;[140]"/>
            <x15:cachedUniqueName index="140" name="[mmmm].[ID].&amp;[141]"/>
            <x15:cachedUniqueName index="141" name="[mmmm].[ID].&amp;[142]"/>
            <x15:cachedUniqueName index="142" name="[mmmm].[ID].&amp;[143]"/>
            <x15:cachedUniqueName index="143" name="[mmmm].[ID].&amp;[144]"/>
            <x15:cachedUniqueName index="144" name="[mmmm].[ID].&amp;[145]"/>
            <x15:cachedUniqueName index="145" name="[mmmm].[ID].&amp;[146]"/>
            <x15:cachedUniqueName index="146" name="[mmmm].[ID].&amp;[147]"/>
            <x15:cachedUniqueName index="147" name="[mmmm].[ID].&amp;[148]"/>
            <x15:cachedUniqueName index="148" name="[mmmm].[ID].&amp;[149]"/>
            <x15:cachedUniqueName index="149" name="[mmmm].[ID].&amp;[150]"/>
            <x15:cachedUniqueName index="150" name="[mmmm].[ID].&amp;[151]"/>
            <x15:cachedUniqueName index="151" name="[mmmm].[ID].&amp;[152]"/>
            <x15:cachedUniqueName index="152" name="[mmmm].[ID].&amp;[153]"/>
            <x15:cachedUniqueName index="153" name="[mmmm].[ID].&amp;[154]"/>
            <x15:cachedUniqueName index="154" name="[mmmm].[ID].&amp;[155]"/>
            <x15:cachedUniqueName index="155" name="[mmmm].[ID].&amp;[156]"/>
            <x15:cachedUniqueName index="156" name="[mmmm].[ID].&amp;[157]"/>
            <x15:cachedUniqueName index="157" name="[mmmm].[ID].&amp;[158]"/>
            <x15:cachedUniqueName index="158" name="[mmmm].[ID].&amp;[159]"/>
            <x15:cachedUniqueName index="159" name="[mmmm].[ID].&amp;[160]"/>
            <x15:cachedUniqueName index="160" name="[mmmm].[ID].&amp;[161]"/>
            <x15:cachedUniqueName index="161" name="[mmmm].[ID].&amp;[162]"/>
            <x15:cachedUniqueName index="162" name="[mmmm].[ID].&amp;[163]"/>
            <x15:cachedUniqueName index="163" name="[mmmm].[ID].&amp;[164]"/>
            <x15:cachedUniqueName index="164" name="[mmmm].[ID].&amp;[165]"/>
            <x15:cachedUniqueName index="165" name="[mmmm].[ID].&amp;[166]"/>
            <x15:cachedUniqueName index="166" name="[mmmm].[ID].&amp;[167]"/>
            <x15:cachedUniqueName index="167" name="[mmmm].[ID].&amp;[168]"/>
            <x15:cachedUniqueName index="168" name="[mmmm].[ID].&amp;[169]"/>
            <x15:cachedUniqueName index="169" name="[mmmm].[ID].&amp;[170]"/>
            <x15:cachedUniqueName index="170" name="[mmmm].[ID].&amp;[171]"/>
            <x15:cachedUniqueName index="171" name="[mmmm].[ID].&amp;[172]"/>
            <x15:cachedUniqueName index="172" name="[mmmm].[ID].&amp;[173]"/>
            <x15:cachedUniqueName index="173" name="[mmmm].[ID].&amp;[174]"/>
            <x15:cachedUniqueName index="174" name="[mmmm].[ID].&amp;[175]"/>
            <x15:cachedUniqueName index="175" name="[mmmm].[ID].&amp;[176]"/>
            <x15:cachedUniqueName index="176" name="[mmmm].[ID].&amp;[177]"/>
            <x15:cachedUniqueName index="177" name="[mmmm].[ID].&amp;[178]"/>
            <x15:cachedUniqueName index="178" name="[mmmm].[ID].&amp;[179]"/>
            <x15:cachedUniqueName index="179" name="[mmmm].[ID].&amp;[180]"/>
            <x15:cachedUniqueName index="180" name="[mmmm].[ID].&amp;[181]"/>
            <x15:cachedUniqueName index="181" name="[mmmm].[ID].&amp;[182]"/>
            <x15:cachedUniqueName index="182" name="[mmmm].[ID].&amp;[183]"/>
            <x15:cachedUniqueName index="183" name="[mmmm].[ID].&amp;[184]"/>
            <x15:cachedUniqueName index="184" name="[mmmm].[ID].&amp;[185]"/>
            <x15:cachedUniqueName index="185" name="[mmmm].[ID].&amp;[186]"/>
            <x15:cachedUniqueName index="186" name="[mmmm].[ID].&amp;[187]"/>
            <x15:cachedUniqueName index="187" name="[mmmm].[ID].&amp;[188]"/>
            <x15:cachedUniqueName index="188" name="[mmmm].[ID].&amp;[189]"/>
            <x15:cachedUniqueName index="189" name="[mmmm].[ID].&amp;[190]"/>
            <x15:cachedUniqueName index="190" name="[mmmm].[ID].&amp;[191]"/>
            <x15:cachedUniqueName index="191" name="[mmmm].[ID].&amp;[192]"/>
            <x15:cachedUniqueName index="192" name="[mmmm].[ID].&amp;[193]"/>
            <x15:cachedUniqueName index="193" name="[mmmm].[ID].&amp;[194]"/>
            <x15:cachedUniqueName index="194" name="[mmmm].[ID].&amp;[195]"/>
            <x15:cachedUniqueName index="195" name="[mmmm].[ID].&amp;[196]"/>
            <x15:cachedUniqueName index="196" name="[mmmm].[ID].&amp;[197]"/>
            <x15:cachedUniqueName index="197" name="[mmmm].[ID].&amp;[198]"/>
            <x15:cachedUniqueName index="198" name="[mmmm].[ID].&amp;[199]"/>
            <x15:cachedUniqueName index="199" name="[mmmm].[ID].&amp;[200]"/>
            <x15:cachedUniqueName index="200" name="[mmmm].[ID].&amp;[201]"/>
            <x15:cachedUniqueName index="201" name="[mmmm].[ID].&amp;[202]"/>
            <x15:cachedUniqueName index="202" name="[mmmm].[ID].&amp;[203]"/>
            <x15:cachedUniqueName index="203" name="[mmmm].[ID].&amp;[204]"/>
            <x15:cachedUniqueName index="204" name="[mmmm].[ID].&amp;[205]"/>
            <x15:cachedUniqueName index="205" name="[mmmm].[ID].&amp;[206]"/>
            <x15:cachedUniqueName index="206" name="[mmmm].[ID].&amp;[207]"/>
            <x15:cachedUniqueName index="207" name="[mmmm].[ID].&amp;[208]"/>
            <x15:cachedUniqueName index="208" name="[mmmm].[ID].&amp;[209]"/>
            <x15:cachedUniqueName index="209" name="[mmmm].[ID].&amp;[210]"/>
            <x15:cachedUniqueName index="210" name="[mmmm].[ID].&amp;[211]"/>
            <x15:cachedUniqueName index="211" name="[mmmm].[ID].&amp;[212]"/>
            <x15:cachedUniqueName index="212" name="[mmmm].[ID].&amp;[213]"/>
            <x15:cachedUniqueName index="213" name="[mmmm].[ID].&amp;[214]"/>
            <x15:cachedUniqueName index="214" name="[mmmm].[ID].&amp;[215]"/>
            <x15:cachedUniqueName index="215" name="[mmmm].[ID].&amp;[216]"/>
            <x15:cachedUniqueName index="216" name="[mmmm].[ID].&amp;[217]"/>
            <x15:cachedUniqueName index="217" name="[mmmm].[ID].&amp;[218]"/>
            <x15:cachedUniqueName index="218" name="[mmmm].[ID].&amp;[219]"/>
            <x15:cachedUniqueName index="219" name="[mmmm].[ID].&amp;[220]"/>
            <x15:cachedUniqueName index="220" name="[mmmm].[ID].&amp;[221]"/>
            <x15:cachedUniqueName index="221" name="[mmmm].[ID].&amp;[222]"/>
            <x15:cachedUniqueName index="222" name="[mmmm].[ID].&amp;[223]"/>
            <x15:cachedUniqueName index="223" name="[mmmm].[ID].&amp;[224]"/>
            <x15:cachedUniqueName index="224" name="[mmmm].[ID].&amp;[225]"/>
            <x15:cachedUniqueName index="225" name="[mmmm].[ID].&amp;[226]"/>
            <x15:cachedUniqueName index="226" name="[mmmm].[ID].&amp;[227]"/>
            <x15:cachedUniqueName index="227" name="[mmmm].[ID].&amp;[228]"/>
            <x15:cachedUniqueName index="228" name="[mmmm].[ID].&amp;[229]"/>
            <x15:cachedUniqueName index="229" name="[mmmm].[ID].&amp;[230]"/>
            <x15:cachedUniqueName index="230" name="[mmmm].[ID].&amp;[231]"/>
            <x15:cachedUniqueName index="231" name="[mmmm].[ID].&amp;[232]"/>
            <x15:cachedUniqueName index="232" name="[mmmm].[ID].&amp;[233]"/>
            <x15:cachedUniqueName index="233" name="[mmmm].[ID].&amp;[234]"/>
            <x15:cachedUniqueName index="234" name="[mmmm].[ID].&amp;[235]"/>
            <x15:cachedUniqueName index="235" name="[mmmm].[ID].&amp;[236]"/>
            <x15:cachedUniqueName index="236" name="[mmmm].[ID].&amp;[237]"/>
            <x15:cachedUniqueName index="237" name="[mmmm].[ID].&amp;[238]"/>
            <x15:cachedUniqueName index="238" name="[mmmm].[ID].&amp;[239]"/>
            <x15:cachedUniqueName index="239" name="[mmmm].[ID].&amp;[240]"/>
            <x15:cachedUniqueName index="240" name="[mmmm].[ID].&amp;[241]"/>
            <x15:cachedUniqueName index="241" name="[mmmm].[ID].&amp;[242]"/>
            <x15:cachedUniqueName index="242" name="[mmmm].[ID].&amp;[243]"/>
            <x15:cachedUniqueName index="243" name="[mmmm].[ID].&amp;[244]"/>
            <x15:cachedUniqueName index="244" name="[mmmm].[ID].&amp;[245]"/>
            <x15:cachedUniqueName index="245" name="[mmmm].[ID].&amp;[246]"/>
            <x15:cachedUniqueName index="246" name="[mmmm].[ID].&amp;[247]"/>
            <x15:cachedUniqueName index="247" name="[mmmm].[ID].&amp;[248]"/>
            <x15:cachedUniqueName index="248" name="[mmmm].[ID].&amp;[249]"/>
            <x15:cachedUniqueName index="249" name="[mmmm].[ID].&amp;[250]"/>
            <x15:cachedUniqueName index="250" name="[mmmm].[ID].&amp;[251]"/>
            <x15:cachedUniqueName index="251" name="[mmmm].[ID].&amp;[252]"/>
            <x15:cachedUniqueName index="252" name="[mmmm].[ID].&amp;[253]"/>
            <x15:cachedUniqueName index="253" name="[mmmm].[ID].&amp;[254]"/>
            <x15:cachedUniqueName index="254" name="[mmmm].[ID].&amp;[255]"/>
            <x15:cachedUniqueName index="255" name="[mmmm].[ID].&amp;[256]"/>
            <x15:cachedUniqueName index="256" name="[mmmm].[ID].&amp;[257]"/>
            <x15:cachedUniqueName index="257" name="[mmmm].[ID].&amp;[258]"/>
            <x15:cachedUniqueName index="258" name="[mmmm].[ID].&amp;[259]"/>
            <x15:cachedUniqueName index="259" name="[mmmm].[ID].&amp;[260]"/>
            <x15:cachedUniqueName index="260" name="[mmmm].[ID].&amp;[261]"/>
            <x15:cachedUniqueName index="261" name="[mmmm].[ID].&amp;[262]"/>
            <x15:cachedUniqueName index="262" name="[mmmm].[ID].&amp;[263]"/>
            <x15:cachedUniqueName index="263" name="[mmmm].[ID].&amp;[264]"/>
            <x15:cachedUniqueName index="264" name="[mmmm].[ID].&amp;[265]"/>
            <x15:cachedUniqueName index="265" name="[mmmm].[ID].&amp;[266]"/>
            <x15:cachedUniqueName index="266" name="[mmmm].[ID].&amp;[267]"/>
            <x15:cachedUniqueName index="267" name="[mmmm].[ID].&amp;[268]"/>
            <x15:cachedUniqueName index="268" name="[mmmm].[ID].&amp;[269]"/>
            <x15:cachedUniqueName index="269" name="[mmmm].[ID].&amp;[270]"/>
            <x15:cachedUniqueName index="270" name="[mmmm].[ID].&amp;[271]"/>
            <x15:cachedUniqueName index="271" name="[mmmm].[ID].&amp;[272]"/>
            <x15:cachedUniqueName index="272" name="[mmmm].[ID].&amp;[273]"/>
            <x15:cachedUniqueName index="273" name="[mmmm].[ID].&amp;[274]"/>
            <x15:cachedUniqueName index="274" name="[mmmm].[ID].&amp;[275]"/>
            <x15:cachedUniqueName index="275" name="[mmmm].[ID].&amp;[276]"/>
            <x15:cachedUniqueName index="276" name="[mmmm].[ID].&amp;[277]"/>
            <x15:cachedUniqueName index="277" name="[mmmm].[ID].&amp;[278]"/>
            <x15:cachedUniqueName index="278" name="[mmmm].[ID].&amp;[279]"/>
            <x15:cachedUniqueName index="279" name="[mmmm].[ID].&amp;[280]"/>
            <x15:cachedUniqueName index="280" name="[mmmm].[ID].&amp;[281]"/>
            <x15:cachedUniqueName index="281" name="[mmmm].[ID].&amp;[282]"/>
            <x15:cachedUniqueName index="282" name="[mmmm].[ID].&amp;[283]"/>
            <x15:cachedUniqueName index="283" name="[mmmm].[ID].&amp;[284]"/>
            <x15:cachedUniqueName index="284" name="[mmmm].[ID].&amp;[285]"/>
            <x15:cachedUniqueName index="285" name="[mmmm].[ID].&amp;[286]"/>
            <x15:cachedUniqueName index="286" name="[mmmm].[ID].&amp;[287]"/>
            <x15:cachedUniqueName index="287" name="[mmmm].[ID].&amp;[288]"/>
            <x15:cachedUniqueName index="288" name="[mmmm].[ID].&amp;[289]"/>
            <x15:cachedUniqueName index="289" name="[mmmm].[ID].&amp;[290]"/>
            <x15:cachedUniqueName index="290" name="[mmmm].[ID].&amp;[291]"/>
            <x15:cachedUniqueName index="291" name="[mmmm].[ID].&amp;[292]"/>
            <x15:cachedUniqueName index="292" name="[mmmm].[ID].&amp;[293]"/>
            <x15:cachedUniqueName index="293" name="[mmmm].[ID].&amp;[294]"/>
            <x15:cachedUniqueName index="294" name="[mmmm].[ID].&amp;[295]"/>
            <x15:cachedUniqueName index="295" name="[mmmm].[ID].&amp;[296]"/>
            <x15:cachedUniqueName index="296" name="[mmmm].[ID].&amp;[297]"/>
            <x15:cachedUniqueName index="297" name="[mmmm].[ID].&amp;[298]"/>
            <x15:cachedUniqueName index="298" name="[mmmm].[ID].&amp;[299]"/>
            <x15:cachedUniqueName index="299" name="[mmmm].[ID].&amp;[300]"/>
            <x15:cachedUniqueName index="300" name="[mmmm].[ID].&amp;[301]"/>
            <x15:cachedUniqueName index="301" name="[mmmm].[ID].&amp;[302]"/>
            <x15:cachedUniqueName index="302" name="[mmmm].[ID].&amp;[303]"/>
            <x15:cachedUniqueName index="303" name="[mmmm].[ID].&amp;[304]"/>
            <x15:cachedUniqueName index="304" name="[mmmm].[ID].&amp;[305]"/>
            <x15:cachedUniqueName index="305" name="[mmmm].[ID].&amp;[306]"/>
            <x15:cachedUniqueName index="306" name="[mmmm].[ID].&amp;[307]"/>
            <x15:cachedUniqueName index="307" name="[mmmm].[ID].&amp;[308]"/>
            <x15:cachedUniqueName index="308" name="[mmmm].[ID].&amp;[309]"/>
            <x15:cachedUniqueName index="309" name="[mmmm].[ID].&amp;[310]"/>
            <x15:cachedUniqueName index="310" name="[mmmm].[ID].&amp;[311]"/>
            <x15:cachedUniqueName index="311" name="[mmmm].[ID].&amp;[312]"/>
            <x15:cachedUniqueName index="312" name="[mmmm].[ID].&amp;[313]"/>
            <x15:cachedUniqueName index="313" name="[mmmm].[ID].&amp;[314]"/>
            <x15:cachedUniqueName index="314" name="[mmmm].[ID].&amp;[315]"/>
            <x15:cachedUniqueName index="315" name="[mmmm].[ID].&amp;[316]"/>
            <x15:cachedUniqueName index="316" name="[mmmm].[ID].&amp;[317]"/>
            <x15:cachedUniqueName index="317" name="[mmmm].[ID].&amp;[318]"/>
            <x15:cachedUniqueName index="318" name="[mmmm].[ID].&amp;[319]"/>
            <x15:cachedUniqueName index="319" name="[mmmm].[ID].&amp;[320]"/>
            <x15:cachedUniqueName index="320" name="[mmmm].[ID].&amp;[321]"/>
            <x15:cachedUniqueName index="321" name="[mmmm].[ID].&amp;[322]"/>
            <x15:cachedUniqueName index="322" name="[mmmm].[ID].&amp;[323]"/>
            <x15:cachedUniqueName index="323" name="[mmmm].[ID].&amp;[324]"/>
            <x15:cachedUniqueName index="324" name="[mmmm].[ID].&amp;[325]"/>
            <x15:cachedUniqueName index="325" name="[mmmm].[ID].&amp;[326]"/>
            <x15:cachedUniqueName index="326" name="[mmmm].[ID].&amp;[327]"/>
            <x15:cachedUniqueName index="327" name="[mmmm].[ID].&amp;[328]"/>
            <x15:cachedUniqueName index="328" name="[mmmm].[ID].&amp;[329]"/>
            <x15:cachedUniqueName index="329" name="[mmmm].[ID].&amp;[330]"/>
            <x15:cachedUniqueName index="330" name="[mmmm].[ID].&amp;[331]"/>
            <x15:cachedUniqueName index="331" name="[mmmm].[ID].&amp;[332]"/>
            <x15:cachedUniqueName index="332" name="[mmmm].[ID].&amp;[333]"/>
            <x15:cachedUniqueName index="333" name="[mmmm].[ID].&amp;[334]"/>
            <x15:cachedUniqueName index="334" name="[mmmm].[ID].&amp;[335]"/>
            <x15:cachedUniqueName index="335" name="[mmmm].[ID].&amp;[336]"/>
            <x15:cachedUniqueName index="336" name="[mmmm].[ID].&amp;[337]"/>
            <x15:cachedUniqueName index="337" name="[mmmm].[ID].&amp;[338]"/>
            <x15:cachedUniqueName index="338" name="[mmmm].[ID].&amp;[339]"/>
            <x15:cachedUniqueName index="339" name="[mmmm].[ID].&amp;[340]"/>
            <x15:cachedUniqueName index="340" name="[mmmm].[ID].&amp;[341]"/>
            <x15:cachedUniqueName index="341" name="[mmmm].[ID].&amp;[342]"/>
            <x15:cachedUniqueName index="342" name="[mmmm].[ID].&amp;[343]"/>
            <x15:cachedUniqueName index="343" name="[mmmm].[ID].&amp;[344]"/>
            <x15:cachedUniqueName index="344" name="[mmmm].[ID].&amp;[345]"/>
            <x15:cachedUniqueName index="345" name="[mmmm].[ID].&amp;[346]"/>
            <x15:cachedUniqueName index="346" name="[mmmm].[ID].&amp;[347]"/>
            <x15:cachedUniqueName index="347" name="[mmmm].[ID].&amp;[348]"/>
            <x15:cachedUniqueName index="348" name="[mmmm].[ID].&amp;[349]"/>
            <x15:cachedUniqueName index="349" name="[mmmm].[ID].&amp;[350]"/>
            <x15:cachedUniqueName index="350" name="[mmmm].[ID].&amp;[351]"/>
            <x15:cachedUniqueName index="351" name="[mmmm].[ID].&amp;[352]"/>
            <x15:cachedUniqueName index="352" name="[mmmm].[ID].&amp;[353]"/>
            <x15:cachedUniqueName index="353" name="[mmmm].[ID].&amp;[354]"/>
            <x15:cachedUniqueName index="354" name="[mmmm].[ID].&amp;[355]"/>
            <x15:cachedUniqueName index="355" name="[mmmm].[ID].&amp;[356]"/>
            <x15:cachedUniqueName index="356" name="[mmmm].[ID].&amp;[357]"/>
            <x15:cachedUniqueName index="357" name="[mmmm].[ID].&amp;[358]"/>
            <x15:cachedUniqueName index="358" name="[mmmm].[ID].&amp;[359]"/>
            <x15:cachedUniqueName index="359" name="[mmmm].[ID].&amp;[360]"/>
            <x15:cachedUniqueName index="360" name="[mmmm].[ID].&amp;[361]"/>
            <x15:cachedUniqueName index="361" name="[mmmm].[ID].&amp;[362]"/>
            <x15:cachedUniqueName index="362" name="[mmmm].[ID].&amp;[363]"/>
            <x15:cachedUniqueName index="363" name="[mmmm].[ID].&amp;[364]"/>
            <x15:cachedUniqueName index="364" name="[mmmm].[ID].&amp;[365]"/>
            <x15:cachedUniqueName index="365" name="[mmmm].[ID].&amp;[366]"/>
            <x15:cachedUniqueName index="366" name="[mmmm].[ID].&amp;[367]"/>
            <x15:cachedUniqueName index="367" name="[mmmm].[ID].&amp;[368]"/>
            <x15:cachedUniqueName index="368" name="[mmmm].[ID].&amp;[369]"/>
            <x15:cachedUniqueName index="369" name="[mmmm].[ID].&amp;[370]"/>
            <x15:cachedUniqueName index="370" name="[mmmm].[ID].&amp;[371]"/>
            <x15:cachedUniqueName index="371" name="[mmmm].[ID].&amp;[372]"/>
            <x15:cachedUniqueName index="372" name="[mmmm].[ID].&amp;[373]"/>
            <x15:cachedUniqueName index="373" name="[mmmm].[ID].&amp;[374]"/>
            <x15:cachedUniqueName index="374" name="[mmmm].[ID].&amp;[375]"/>
            <x15:cachedUniqueName index="375" name="[mmmm].[ID].&amp;[376]"/>
            <x15:cachedUniqueName index="376" name="[mmmm].[ID].&amp;[377]"/>
            <x15:cachedUniqueName index="377" name="[mmmm].[ID].&amp;[378]"/>
            <x15:cachedUniqueName index="378" name="[mmmm].[ID].&amp;[379]"/>
            <x15:cachedUniqueName index="379" name="[mmmm].[ID].&amp;[380]"/>
            <x15:cachedUniqueName index="380" name="[mmmm].[ID].&amp;[381]"/>
            <x15:cachedUniqueName index="381" name="[mmmm].[ID].&amp;[382]"/>
            <x15:cachedUniqueName index="382" name="[mmmm].[ID].&amp;[383]"/>
            <x15:cachedUniqueName index="383" name="[mmmm].[ID].&amp;[384]"/>
            <x15:cachedUniqueName index="384" name="[mmmm].[ID].&amp;[385]"/>
            <x15:cachedUniqueName index="385" name="[mmmm].[ID].&amp;[386]"/>
            <x15:cachedUniqueName index="386" name="[mmmm].[ID].&amp;[387]"/>
            <x15:cachedUniqueName index="387" name="[mmmm].[ID].&amp;[388]"/>
            <x15:cachedUniqueName index="388" name="[mmmm].[ID].&amp;[389]"/>
            <x15:cachedUniqueName index="389" name="[mmmm].[ID].&amp;[390]"/>
            <x15:cachedUniqueName index="390" name="[mmmm].[ID].&amp;[391]"/>
            <x15:cachedUniqueName index="391" name="[mmmm].[ID].&amp;[392]"/>
            <x15:cachedUniqueName index="392" name="[mmmm].[ID].&amp;[393]"/>
            <x15:cachedUniqueName index="393" name="[mmmm].[ID].&amp;[394]"/>
            <x15:cachedUniqueName index="394" name="[mmmm].[ID].&amp;[395]"/>
            <x15:cachedUniqueName index="395" name="[mmmm].[ID].&amp;[396]"/>
            <x15:cachedUniqueName index="396" name="[mmmm].[ID].&amp;[397]"/>
            <x15:cachedUniqueName index="397" name="[mmmm].[ID].&amp;[398]"/>
            <x15:cachedUniqueName index="398" name="[mmmm].[ID].&amp;[399]"/>
            <x15:cachedUniqueName index="399" name="[mmmm].[ID].&amp;[400]"/>
            <x15:cachedUniqueName index="400" name="[mmmm].[ID].&amp;[401]"/>
            <x15:cachedUniqueName index="401" name="[mmmm].[ID].&amp;[402]"/>
            <x15:cachedUniqueName index="402" name="[mmmm].[ID].&amp;[403]"/>
            <x15:cachedUniqueName index="403" name="[mmmm].[ID].&amp;[404]"/>
            <x15:cachedUniqueName index="404" name="[mmmm].[ID].&amp;[405]"/>
            <x15:cachedUniqueName index="405" name="[mmmm].[ID].&amp;[406]"/>
            <x15:cachedUniqueName index="406" name="[mmmm].[ID].&amp;[407]"/>
            <x15:cachedUniqueName index="407" name="[mmmm].[ID].&amp;[408]"/>
            <x15:cachedUniqueName index="408" name="[mmmm].[ID].&amp;[409]"/>
            <x15:cachedUniqueName index="409" name="[mmmm].[ID].&amp;[410]"/>
            <x15:cachedUniqueName index="410" name="[mmmm].[ID].&amp;[411]"/>
            <x15:cachedUniqueName index="411" name="[mmmm].[ID].&amp;[412]"/>
            <x15:cachedUniqueName index="412" name="[mmmm].[ID].&amp;[413]"/>
            <x15:cachedUniqueName index="413" name="[mmmm].[ID].&amp;[414]"/>
            <x15:cachedUniqueName index="414" name="[mmmm].[ID].&amp;[415]"/>
            <x15:cachedUniqueName index="415" name="[mmmm].[ID].&amp;[416]"/>
            <x15:cachedUniqueName index="416" name="[mmmm].[ID].&amp;[417]"/>
            <x15:cachedUniqueName index="417" name="[mmmm].[ID].&amp;[418]"/>
            <x15:cachedUniqueName index="418" name="[mmmm].[ID].&amp;[419]"/>
            <x15:cachedUniqueName index="419" name="[mmmm].[ID].&amp;[420]"/>
            <x15:cachedUniqueName index="420" name="[mmmm].[ID].&amp;[421]"/>
            <x15:cachedUniqueName index="421" name="[mmmm].[ID].&amp;[422]"/>
            <x15:cachedUniqueName index="422" name="[mmmm].[ID].&amp;[423]"/>
            <x15:cachedUniqueName index="423" name="[mmmm].[ID].&amp;[424]"/>
            <x15:cachedUniqueName index="424" name="[mmmm].[ID].&amp;[425]"/>
            <x15:cachedUniqueName index="425" name="[mmmm].[ID].&amp;[426]"/>
            <x15:cachedUniqueName index="426" name="[mmmm].[ID].&amp;[427]"/>
            <x15:cachedUniqueName index="427" name="[mmmm].[ID].&amp;[428]"/>
            <x15:cachedUniqueName index="428" name="[mmmm].[ID].&amp;[429]"/>
            <x15:cachedUniqueName index="429" name="[mmmm].[ID].&amp;[430]"/>
            <x15:cachedUniqueName index="430" name="[mmmm].[ID].&amp;[431]"/>
            <x15:cachedUniqueName index="431" name="[mmmm].[ID].&amp;[432]"/>
            <x15:cachedUniqueName index="432" name="[mmmm].[ID].&amp;[433]"/>
            <x15:cachedUniqueName index="433" name="[mmmm].[ID].&amp;[434]"/>
            <x15:cachedUniqueName index="434" name="[mmmm].[ID].&amp;[435]"/>
            <x15:cachedUniqueName index="435" name="[mmmm].[ID].&amp;[436]"/>
            <x15:cachedUniqueName index="436" name="[mmmm].[ID].&amp;[437]"/>
            <x15:cachedUniqueName index="437" name="[mmmm].[ID].&amp;[438]"/>
            <x15:cachedUniqueName index="438" name="[mmmm].[ID].&amp;[439]"/>
            <x15:cachedUniqueName index="439" name="[mmmm].[ID].&amp;[440]"/>
            <x15:cachedUniqueName index="440" name="[mmmm].[ID].&amp;[441]"/>
            <x15:cachedUniqueName index="441" name="[mmmm].[ID].&amp;[442]"/>
            <x15:cachedUniqueName index="442" name="[mmmm].[ID].&amp;[443]"/>
            <x15:cachedUniqueName index="443" name="[mmmm].[ID].&amp;[444]"/>
            <x15:cachedUniqueName index="444" name="[mmmm].[ID].&amp;[445]"/>
            <x15:cachedUniqueName index="445" name="[mmmm].[ID].&amp;[446]"/>
            <x15:cachedUniqueName index="446" name="[mmmm].[ID].&amp;[447]"/>
            <x15:cachedUniqueName index="447" name="[mmmm].[ID].&amp;[448]"/>
            <x15:cachedUniqueName index="448" name="[mmmm].[ID].&amp;[449]"/>
            <x15:cachedUniqueName index="449" name="[mmmm].[ID].&amp;[450]"/>
            <x15:cachedUniqueName index="450" name="[mmmm].[ID].&amp;[451]"/>
            <x15:cachedUniqueName index="451" name="[mmmm].[ID].&amp;[452]"/>
            <x15:cachedUniqueName index="452" name="[mmmm].[ID].&amp;[453]"/>
            <x15:cachedUniqueName index="453" name="[mmmm].[ID].&amp;[454]"/>
            <x15:cachedUniqueName index="454" name="[mmmm].[ID].&amp;[455]"/>
            <x15:cachedUniqueName index="455" name="[mmmm].[ID].&amp;[456]"/>
            <x15:cachedUniqueName index="456" name="[mmmm].[ID].&amp;[457]"/>
            <x15:cachedUniqueName index="457" name="[mmmm].[ID].&amp;[458]"/>
            <x15:cachedUniqueName index="458" name="[mmmm].[ID].&amp;[459]"/>
            <x15:cachedUniqueName index="459" name="[mmmm].[ID].&amp;[460]"/>
            <x15:cachedUniqueName index="460" name="[mmmm].[ID].&amp;[461]"/>
            <x15:cachedUniqueName index="461" name="[mmmm].[ID].&amp;[462]"/>
            <x15:cachedUniqueName index="462" name="[mmmm].[ID].&amp;[463]"/>
            <x15:cachedUniqueName index="463" name="[mmmm].[ID].&amp;[464]"/>
            <x15:cachedUniqueName index="464" name="[mmmm].[ID].&amp;[465]"/>
            <x15:cachedUniqueName index="465" name="[mmmm].[ID].&amp;[466]"/>
            <x15:cachedUniqueName index="466" name="[mmmm].[ID].&amp;[467]"/>
            <x15:cachedUniqueName index="467" name="[mmmm].[ID].&amp;[468]"/>
            <x15:cachedUniqueName index="468" name="[mmmm].[ID].&amp;[469]"/>
            <x15:cachedUniqueName index="469" name="[mmmm].[ID].&amp;[470]"/>
            <x15:cachedUniqueName index="470" name="[mmmm].[ID].&amp;[471]"/>
            <x15:cachedUniqueName index="471" name="[mmmm].[ID].&amp;[472]"/>
            <x15:cachedUniqueName index="472" name="[mmmm].[ID].&amp;[473]"/>
            <x15:cachedUniqueName index="473" name="[mmmm].[ID].&amp;[474]"/>
            <x15:cachedUniqueName index="474" name="[mmmm].[ID].&amp;[475]"/>
            <x15:cachedUniqueName index="475" name="[mmmm].[ID].&amp;[476]"/>
            <x15:cachedUniqueName index="476" name="[mmmm].[ID].&amp;[477]"/>
            <x15:cachedUniqueName index="477" name="[mmmm].[ID].&amp;[478]"/>
            <x15:cachedUniqueName index="478" name="[mmmm].[ID].&amp;[479]"/>
            <x15:cachedUniqueName index="479" name="[mmmm].[ID].&amp;[480]"/>
            <x15:cachedUniqueName index="480" name="[mmmm].[ID].&amp;[481]"/>
            <x15:cachedUniqueName index="481" name="[mmmm].[ID].&amp;[482]"/>
            <x15:cachedUniqueName index="482" name="[mmmm].[ID].&amp;[483]"/>
            <x15:cachedUniqueName index="483" name="[mmmm].[ID].&amp;[484]"/>
            <x15:cachedUniqueName index="484" name="[mmmm].[ID].&amp;[485]"/>
            <x15:cachedUniqueName index="485" name="[mmmm].[ID].&amp;[486]"/>
            <x15:cachedUniqueName index="486" name="[mmmm].[ID].&amp;[487]"/>
            <x15:cachedUniqueName index="487" name="[mmmm].[ID].&amp;[488]"/>
            <x15:cachedUniqueName index="488" name="[mmmm].[ID].&amp;[489]"/>
            <x15:cachedUniqueName index="489" name="[mmmm].[ID].&amp;[490]"/>
            <x15:cachedUniqueName index="490" name="[mmmm].[ID].&amp;[491]"/>
            <x15:cachedUniqueName index="491" name="[mmmm].[ID].&amp;[492]"/>
            <x15:cachedUniqueName index="492" name="[mmmm].[ID].&amp;[493]"/>
            <x15:cachedUniqueName index="493" name="[mmmm].[ID].&amp;[494]"/>
            <x15:cachedUniqueName index="494" name="[mmmm].[ID].&amp;[495]"/>
            <x15:cachedUniqueName index="495" name="[mmmm].[ID].&amp;[496]"/>
            <x15:cachedUniqueName index="496" name="[mmmm].[ID].&amp;[497]"/>
            <x15:cachedUniqueName index="497" name="[mmmm].[ID].&amp;[498]"/>
            <x15:cachedUniqueName index="498" name="[mmmm].[ID].&amp;[499]"/>
            <x15:cachedUniqueName index="499" name="[mmmm].[ID].&amp;[500]"/>
            <x15:cachedUniqueName index="500" name="[mmmm].[ID].&amp;[501]"/>
            <x15:cachedUniqueName index="501" name="[mmmm].[ID].&amp;[502]"/>
            <x15:cachedUniqueName index="502" name="[mmmm].[ID].&amp;[503]"/>
            <x15:cachedUniqueName index="503" name="[mmmm].[ID].&amp;[504]"/>
            <x15:cachedUniqueName index="504" name="[mmmm].[ID].&amp;[505]"/>
            <x15:cachedUniqueName index="505" name="[mmmm].[ID].&amp;[506]"/>
            <x15:cachedUniqueName index="506" name="[mmmm].[ID].&amp;[507]"/>
            <x15:cachedUniqueName index="507" name="[mmmm].[ID].&amp;[508]"/>
            <x15:cachedUniqueName index="508" name="[mmmm].[ID].&amp;[509]"/>
            <x15:cachedUniqueName index="509" name="[mmmm].[ID].&amp;[510]"/>
            <x15:cachedUniqueName index="510" name="[mmmm].[ID].&amp;[511]"/>
            <x15:cachedUniqueName index="511" name="[mmmm].[ID].&amp;[512]"/>
            <x15:cachedUniqueName index="512" name="[mmmm].[ID].&amp;[513]"/>
            <x15:cachedUniqueName index="513" name="[mmmm].[ID].&amp;[514]"/>
            <x15:cachedUniqueName index="514" name="[mmmm].[ID].&amp;[515]"/>
            <x15:cachedUniqueName index="515" name="[mmmm].[ID].&amp;[516]"/>
            <x15:cachedUniqueName index="516" name="[mmmm].[ID].&amp;[517]"/>
            <x15:cachedUniqueName index="517" name="[mmmm].[ID].&amp;[518]"/>
            <x15:cachedUniqueName index="518" name="[mmmm].[ID].&amp;[519]"/>
            <x15:cachedUniqueName index="519" name="[mmmm].[ID].&amp;[520]"/>
            <x15:cachedUniqueName index="520" name="[mmmm].[ID].&amp;[521]"/>
            <x15:cachedUniqueName index="521" name="[mmmm].[ID].&amp;[522]"/>
            <x15:cachedUniqueName index="522" name="[mmmm].[ID].&amp;[523]"/>
            <x15:cachedUniqueName index="523" name="[mmmm].[ID].&amp;[524]"/>
            <x15:cachedUniqueName index="524" name="[mmmm].[ID].&amp;[525]"/>
            <x15:cachedUniqueName index="525" name="[mmmm].[ID].&amp;[526]"/>
            <x15:cachedUniqueName index="526" name="[mmmm].[ID].&amp;[527]"/>
            <x15:cachedUniqueName index="527" name="[mmmm].[ID].&amp;[528]"/>
            <x15:cachedUniqueName index="528" name="[mmmm].[ID].&amp;[529]"/>
            <x15:cachedUniqueName index="529" name="[mmmm].[ID].&amp;[530]"/>
            <x15:cachedUniqueName index="530" name="[mmmm].[ID].&amp;[531]"/>
            <x15:cachedUniqueName index="531" name="[mmmm].[ID].&amp;[532]"/>
            <x15:cachedUniqueName index="532" name="[mmmm].[ID].&amp;[533]"/>
            <x15:cachedUniqueName index="533" name="[mmmm].[ID].&amp;[534]"/>
            <x15:cachedUniqueName index="534" name="[mmmm].[ID].&amp;[535]"/>
            <x15:cachedUniqueName index="535" name="[mmmm].[ID].&amp;[536]"/>
            <x15:cachedUniqueName index="536" name="[mmmm].[ID].&amp;[537]"/>
            <x15:cachedUniqueName index="537" name="[mmmm].[ID].&amp;[538]"/>
            <x15:cachedUniqueName index="538" name="[mmmm].[ID].&amp;[539]"/>
            <x15:cachedUniqueName index="539" name="[mmmm].[ID].&amp;[540]"/>
            <x15:cachedUniqueName index="540" name="[mmmm].[ID].&amp;[541]"/>
            <x15:cachedUniqueName index="541" name="[mmmm].[ID].&amp;[542]"/>
            <x15:cachedUniqueName index="542" name="[mmmm].[ID].&amp;[543]"/>
            <x15:cachedUniqueName index="543" name="[mmmm].[ID].&amp;[544]"/>
            <x15:cachedUniqueName index="544" name="[mmmm].[ID].&amp;[545]"/>
            <x15:cachedUniqueName index="545" name="[mmmm].[ID].&amp;[546]"/>
            <x15:cachedUniqueName index="546" name="[mmmm].[ID].&amp;[547]"/>
            <x15:cachedUniqueName index="547" name="[mmmm].[ID].&amp;[548]"/>
            <x15:cachedUniqueName index="548" name="[mmmm].[ID].&amp;[549]"/>
            <x15:cachedUniqueName index="549" name="[mmmm].[ID].&amp;[550]"/>
            <x15:cachedUniqueName index="550" name="[mmmm].[ID].&amp;[551]"/>
            <x15:cachedUniqueName index="551" name="[mmmm].[ID].&amp;[552]"/>
            <x15:cachedUniqueName index="552" name="[mmmm].[ID].&amp;[553]"/>
            <x15:cachedUniqueName index="553" name="[mmmm].[ID].&amp;[554]"/>
            <x15:cachedUniqueName index="554" name="[mmmm].[ID].&amp;[555]"/>
            <x15:cachedUniqueName index="555" name="[mmmm].[ID].&amp;[556]"/>
            <x15:cachedUniqueName index="556" name="[mmmm].[ID].&amp;[557]"/>
            <x15:cachedUniqueName index="557" name="[mmmm].[ID].&amp;[558]"/>
            <x15:cachedUniqueName index="558" name="[mmmm].[ID].&amp;[559]"/>
            <x15:cachedUniqueName index="559" name="[mmmm].[ID].&amp;[560]"/>
            <x15:cachedUniqueName index="560" name="[mmmm].[ID].&amp;[561]"/>
            <x15:cachedUniqueName index="561" name="[mmmm].[ID].&amp;[562]"/>
            <x15:cachedUniqueName index="562" name="[mmmm].[ID].&amp;[563]"/>
            <x15:cachedUniqueName index="563" name="[mmmm].[ID].&amp;[564]"/>
            <x15:cachedUniqueName index="564" name="[mmmm].[ID].&amp;[565]"/>
            <x15:cachedUniqueName index="565" name="[mmmm].[ID].&amp;[566]"/>
            <x15:cachedUniqueName index="566" name="[mmmm].[ID].&amp;[567]"/>
            <x15:cachedUniqueName index="567" name="[mmmm].[ID].&amp;[568]"/>
            <x15:cachedUniqueName index="568" name="[mmmm].[ID].&amp;[569]"/>
            <x15:cachedUniqueName index="569" name="[mmmm].[ID].&amp;[570]"/>
            <x15:cachedUniqueName index="570" name="[mmmm].[ID].&amp;[571]"/>
            <x15:cachedUniqueName index="571" name="[mmmm].[ID].&amp;[572]"/>
            <x15:cachedUniqueName index="572" name="[mmmm].[ID].&amp;[573]"/>
            <x15:cachedUniqueName index="573" name="[mmmm].[ID].&amp;[574]"/>
            <x15:cachedUniqueName index="574" name="[mmmm].[ID].&amp;[575]"/>
            <x15:cachedUniqueName index="575" name="[mmmm].[ID].&amp;[576]"/>
            <x15:cachedUniqueName index="576" name="[mmmm].[ID].&amp;[577]"/>
            <x15:cachedUniqueName index="577" name="[mmmm].[ID].&amp;[578]"/>
            <x15:cachedUniqueName index="578" name="[mmmm].[ID].&amp;[579]"/>
            <x15:cachedUniqueName index="579" name="[mmmm].[ID].&amp;[580]"/>
            <x15:cachedUniqueName index="580" name="[mmmm].[ID].&amp;[581]"/>
            <x15:cachedUniqueName index="581" name="[mmmm].[ID].&amp;[582]"/>
            <x15:cachedUniqueName index="582" name="[mmmm].[ID].&amp;[583]"/>
            <x15:cachedUniqueName index="583" name="[mmmm].[ID].&amp;[584]"/>
            <x15:cachedUniqueName index="584" name="[mmmm].[ID].&amp;[585]"/>
            <x15:cachedUniqueName index="585" name="[mmmm].[ID].&amp;[586]"/>
            <x15:cachedUniqueName index="586" name="[mmmm].[ID].&amp;[587]"/>
            <x15:cachedUniqueName index="587" name="[mmmm].[ID].&amp;[588]"/>
            <x15:cachedUniqueName index="588" name="[mmmm].[ID].&amp;[589]"/>
            <x15:cachedUniqueName index="589" name="[mmmm].[ID].&amp;[590]"/>
            <x15:cachedUniqueName index="590" name="[mmmm].[ID].&amp;[591]"/>
            <x15:cachedUniqueName index="591" name="[mmmm].[ID].&amp;[592]"/>
            <x15:cachedUniqueName index="592" name="[mmmm].[ID].&amp;[593]"/>
            <x15:cachedUniqueName index="593" name="[mmmm].[ID].&amp;[594]"/>
            <x15:cachedUniqueName index="594" name="[mmmm].[ID].&amp;[595]"/>
            <x15:cachedUniqueName index="595" name="[mmmm].[ID].&amp;[596]"/>
            <x15:cachedUniqueName index="596" name="[mmmm].[ID].&amp;[597]"/>
            <x15:cachedUniqueName index="597" name="[mmmm].[ID].&amp;[598]"/>
            <x15:cachedUniqueName index="598" name="[mmmm].[ID].&amp;[599]"/>
            <x15:cachedUniqueName index="599" name="[mmmm].[ID].&amp;[600]"/>
            <x15:cachedUniqueName index="600" name="[mmmm].[ID].&amp;[601]"/>
            <x15:cachedUniqueName index="601" name="[mmmm].[ID].&amp;[602]"/>
            <x15:cachedUniqueName index="602" name="[mmmm].[ID].&amp;[603]"/>
            <x15:cachedUniqueName index="603" name="[mmmm].[ID].&amp;[604]"/>
            <x15:cachedUniqueName index="604" name="[mmmm].[ID].&amp;[605]"/>
            <x15:cachedUniqueName index="605" name="[mmmm].[ID].&amp;[606]"/>
            <x15:cachedUniqueName index="606" name="[mmmm].[ID].&amp;[607]"/>
            <x15:cachedUniqueName index="607" name="[mmmm].[ID].&amp;[608]"/>
            <x15:cachedUniqueName index="608" name="[mmmm].[ID].&amp;[609]"/>
            <x15:cachedUniqueName index="609" name="[mmmm].[ID].&amp;[610]"/>
            <x15:cachedUniqueName index="610" name="[mmmm].[ID].&amp;[611]"/>
            <x15:cachedUniqueName index="611" name="[mmmm].[ID].&amp;[612]"/>
            <x15:cachedUniqueName index="612" name="[mmmm].[ID].&amp;[613]"/>
            <x15:cachedUniqueName index="613" name="[mmmm].[ID].&amp;[614]"/>
            <x15:cachedUniqueName index="614" name="[mmmm].[ID].&amp;[615]"/>
            <x15:cachedUniqueName index="615" name="[mmmm].[ID].&amp;[616]"/>
            <x15:cachedUniqueName index="616" name="[mmmm].[ID].&amp;[617]"/>
            <x15:cachedUniqueName index="617" name="[mmmm].[ID].&amp;[618]"/>
            <x15:cachedUniqueName index="618" name="[mmmm].[ID].&amp;[619]"/>
            <x15:cachedUniqueName index="619" name="[mmmm].[ID].&amp;[620]"/>
            <x15:cachedUniqueName index="620" name="[mmmm].[ID].&amp;[621]"/>
            <x15:cachedUniqueName index="621" name="[mmmm].[ID].&amp;[622]"/>
            <x15:cachedUniqueName index="622" name="[mmmm].[ID].&amp;[623]"/>
            <x15:cachedUniqueName index="623" name="[mmmm].[ID].&amp;[624]"/>
            <x15:cachedUniqueName index="624" name="[mmmm].[ID].&amp;[625]"/>
            <x15:cachedUniqueName index="625" name="[mmmm].[ID].&amp;[626]"/>
            <x15:cachedUniqueName index="626" name="[mmmm].[ID].&amp;[627]"/>
            <x15:cachedUniqueName index="627" name="[mmmm].[ID].&amp;[628]"/>
            <x15:cachedUniqueName index="628" name="[mmmm].[ID].&amp;[629]"/>
            <x15:cachedUniqueName index="629" name="[mmmm].[ID].&amp;[630]"/>
            <x15:cachedUniqueName index="630" name="[mmmm].[ID].&amp;[631]"/>
            <x15:cachedUniqueName index="631" name="[mmmm].[ID].&amp;[632]"/>
            <x15:cachedUniqueName index="632" name="[mmmm].[ID].&amp;[633]"/>
            <x15:cachedUniqueName index="633" name="[mmmm].[ID].&amp;[634]"/>
            <x15:cachedUniqueName index="634" name="[mmmm].[ID].&amp;[635]"/>
            <x15:cachedUniqueName index="635" name="[mmmm].[ID].&amp;[636]"/>
            <x15:cachedUniqueName index="636" name="[mmmm].[ID].&amp;[637]"/>
            <x15:cachedUniqueName index="637" name="[mmmm].[ID].&amp;[638]"/>
            <x15:cachedUniqueName index="638" name="[mmmm].[ID].&amp;[639]"/>
            <x15:cachedUniqueName index="639" name="[mmmm].[ID].&amp;[640]"/>
            <x15:cachedUniqueName index="640" name="[mmmm].[ID].&amp;[641]"/>
            <x15:cachedUniqueName index="641" name="[mmmm].[ID].&amp;[642]"/>
            <x15:cachedUniqueName index="642" name="[mmmm].[ID].&amp;[643]"/>
            <x15:cachedUniqueName index="643" name="[mmmm].[ID].&amp;[644]"/>
            <x15:cachedUniqueName index="644" name="[mmmm].[ID].&amp;[645]"/>
            <x15:cachedUniqueName index="645" name="[mmmm].[ID].&amp;[646]"/>
            <x15:cachedUniqueName index="646" name="[mmmm].[ID].&amp;[647]"/>
            <x15:cachedUniqueName index="647" name="[mmmm].[ID].&amp;[648]"/>
            <x15:cachedUniqueName index="648" name="[mmmm].[ID].&amp;[649]"/>
            <x15:cachedUniqueName index="649" name="[mmmm].[ID].&amp;[650]"/>
            <x15:cachedUniqueName index="650" name="[mmmm].[ID].&amp;[651]"/>
            <x15:cachedUniqueName index="651" name="[mmmm].[ID].&amp;[652]"/>
            <x15:cachedUniqueName index="652" name="[mmmm].[ID].&amp;[653]"/>
            <x15:cachedUniqueName index="653" name="[mmmm].[ID].&amp;[654]"/>
            <x15:cachedUniqueName index="654" name="[mmmm].[ID].&amp;[655]"/>
            <x15:cachedUniqueName index="655" name="[mmmm].[ID].&amp;[656]"/>
            <x15:cachedUniqueName index="656" name="[mmmm].[ID].&amp;[657]"/>
            <x15:cachedUniqueName index="657" name="[mmmm].[ID].&amp;[658]"/>
            <x15:cachedUniqueName index="658" name="[mmmm].[ID].&amp;[659]"/>
            <x15:cachedUniqueName index="659" name="[mmmm].[ID].&amp;[660]"/>
            <x15:cachedUniqueName index="660" name="[mmmm].[ID].&amp;[661]"/>
            <x15:cachedUniqueName index="661" name="[mmmm].[ID].&amp;[662]"/>
            <x15:cachedUniqueName index="662" name="[mmmm].[ID].&amp;[663]"/>
            <x15:cachedUniqueName index="663" name="[mmmm].[ID].&amp;[664]"/>
            <x15:cachedUniqueName index="664" name="[mmmm].[ID].&amp;[665]"/>
            <x15:cachedUniqueName index="665" name="[mmmm].[ID].&amp;[666]"/>
            <x15:cachedUniqueName index="666" name="[mmmm].[ID].&amp;[667]"/>
            <x15:cachedUniqueName index="667" name="[mmmm].[ID].&amp;[668]"/>
            <x15:cachedUniqueName index="668" name="[mmmm].[ID].&amp;[669]"/>
            <x15:cachedUniqueName index="669" name="[mmmm].[ID].&amp;[670]"/>
            <x15:cachedUniqueName index="670" name="[mmmm].[ID].&amp;[671]"/>
            <x15:cachedUniqueName index="671" name="[mmmm].[ID].&amp;[672]"/>
            <x15:cachedUniqueName index="672" name="[mmmm].[ID].&amp;[673]"/>
            <x15:cachedUniqueName index="673" name="[mmmm].[ID].&amp;[674]"/>
            <x15:cachedUniqueName index="674" name="[mmmm].[ID].&amp;[675]"/>
            <x15:cachedUniqueName index="675" name="[mmmm].[ID].&amp;[676]"/>
            <x15:cachedUniqueName index="676" name="[mmmm].[ID].&amp;[677]"/>
            <x15:cachedUniqueName index="677" name="[mmmm].[ID].&amp;[678]"/>
            <x15:cachedUniqueName index="678" name="[mmmm].[ID].&amp;[679]"/>
            <x15:cachedUniqueName index="679" name="[mmmm].[ID].&amp;[680]"/>
            <x15:cachedUniqueName index="680" name="[mmmm].[ID].&amp;[681]"/>
            <x15:cachedUniqueName index="681" name="[mmmm].[ID].&amp;[682]"/>
            <x15:cachedUniqueName index="682" name="[mmmm].[ID].&amp;[683]"/>
            <x15:cachedUniqueName index="683" name="[mmmm].[ID].&amp;[684]"/>
            <x15:cachedUniqueName index="684" name="[mmmm].[ID].&amp;[685]"/>
            <x15:cachedUniqueName index="685" name="[mmmm].[ID].&amp;[686]"/>
            <x15:cachedUniqueName index="686" name="[mmmm].[ID].&amp;[687]"/>
            <x15:cachedUniqueName index="687" name="[mmmm].[ID].&amp;[688]"/>
            <x15:cachedUniqueName index="688" name="[mmmm].[ID].&amp;[689]"/>
          </x15:cachedUniqueNames>
        </ext>
      </extLst>
    </cacheField>
    <cacheField name="[Measures].[Average of Years]" caption="Average of Years" numFmtId="0" hierarchy="37" level="32767"/>
    <cacheField name="[mmmm].[Department].[Department]" caption="Department" numFmtId="0" hierarchy="7" level="1">
      <sharedItems containsSemiMixedTypes="0" containsNonDate="0" containsString="0"/>
    </cacheField>
  </cacheFields>
  <cacheHierarchies count="39">
    <cacheHierarchy uniqueName="[mmmm].[ID]" caption="ID" attribute="1" defaultMemberUniqueName="[mmmm].[ID].[All]" allUniqueName="[mmmm].[ID].[All]" dimensionUniqueName="[mmmm]" displayFolder="" count="2" memberValueDatatype="20" unbalanced="0">
      <fieldsUsage count="2">
        <fieldUsage x="-1"/>
        <fieldUsage x="0"/>
      </fieldsUsage>
    </cacheHierarchy>
    <cacheHierarchy uniqueName="[mmmm].[First Name]" caption="First Name" attribute="1" defaultMemberUniqueName="[mmmm].[First Name].[All]" allUniqueName="[mmmm].[First Name].[All]" dimensionUniqueName="[mmmm]" displayFolder="" count="0" memberValueDatatype="130" unbalanced="0"/>
    <cacheHierarchy uniqueName="[mmmm].[Last Name]" caption="Last Name" attribute="1" defaultMemberUniqueName="[mmmm].[Last Name].[All]" allUniqueName="[mmmm].[Last Name].[All]" dimensionUniqueName="[mmmm]" displayFolder="" count="0" memberValueDatatype="130" unbalanced="0"/>
    <cacheHierarchy uniqueName="[mmmm].[Empolyee name]" caption="Empolyee name" attribute="1" defaultMemberUniqueName="[mmmm].[Empolyee name].[All]" allUniqueName="[mmmm].[Empolyee name].[All]" dimensionUniqueName="[mmmm]" displayFolder="" count="0" memberValueDatatype="130" unbalanced="0"/>
    <cacheHierarchy uniqueName="[mmmm].[Gender]" caption="Gender" attribute="1" defaultMemberUniqueName="[mmmm].[Gender].[All]" allUniqueName="[mmmm].[Gender].[All]" dimensionUniqueName="[mmmm]" displayFolder="" count="0" memberValueDatatype="130" unbalanced="0"/>
    <cacheHierarchy uniqueName="[mmmm].[Start Date]" caption="Start Date" attribute="1" time="1" defaultMemberUniqueName="[mmmm].[Start Date].[All]" allUniqueName="[mmmm].[Start Date].[All]" dimensionUniqueName="[mmmm]" displayFolder="" count="0" memberValueDatatype="7" unbalanced="0"/>
    <cacheHierarchy uniqueName="[mmmm].[Years]" caption="Years" attribute="1" defaultMemberUniqueName="[mmmm].[Years].[All]" allUniqueName="[mmmm].[Years].[All]" dimensionUniqueName="[mmmm]" displayFolder="" count="0" memberValueDatatype="20" unbalanced="0"/>
    <cacheHierarchy uniqueName="[mmmm].[Department]" caption="Department" attribute="1" defaultMemberUniqueName="[mmmm].[Department].[All]" allUniqueName="[mmmm].[Department].[All]" dimensionUniqueName="[mmmm]" displayFolder="" count="2" memberValueDatatype="130" unbalanced="0">
      <fieldsUsage count="2">
        <fieldUsage x="-1"/>
        <fieldUsage x="2"/>
      </fieldsUsage>
    </cacheHierarchy>
    <cacheHierarchy uniqueName="[mmmm].[Country]" caption="Country" attribute="1" defaultMemberUniqueName="[mmmm].[Country].[All]" allUniqueName="[mmmm].[Country].[All]" dimensionUniqueName="[mmmm]" displayFolder="" count="2" memberValueDatatype="130" unbalanced="0"/>
    <cacheHierarchy uniqueName="[mmmm].[Center]" caption="Center" attribute="1" defaultMemberUniqueName="[mmmm].[Center].[All]" allUniqueName="[mmmm].[Center].[All]" dimensionUniqueName="[mmmm]" displayFolder="" count="0" memberValueDatatype="130" unbalanced="0"/>
    <cacheHierarchy uniqueName="[mmmm].[Monthly Salary]" caption="Monthly Salary" attribute="1" defaultMemberUniqueName="[mmmm].[Monthly Salary].[All]" allUniqueName="[mmmm].[Monthly Salary].[All]" dimensionUniqueName="[mmmm]" displayFolder="" count="0" memberValueDatatype="20" unbalanced="0"/>
    <cacheHierarchy uniqueName="[mmmm].[Annual Salary]" caption="Annual Salary" attribute="1" defaultMemberUniqueName="[mmmm].[Annual Salary].[All]" allUniqueName="[mmmm].[Annual Salary].[All]" dimensionUniqueName="[mmmm]" displayFolder="" count="0" memberValueDatatype="20" unbalanced="0"/>
    <cacheHierarchy uniqueName="[mmmm].[Job Rate]" caption="Job Rate" attribute="1" defaultMemberUniqueName="[mmmm].[Job Rate].[All]" allUniqueName="[mmmm].[Job Rate].[All]" dimensionUniqueName="[mmmm]" displayFolder="" count="0" memberValueDatatype="5" unbalanced="0"/>
    <cacheHierarchy uniqueName="[mmmm].[Sick Leaves]" caption="Sick Leaves" attribute="1" defaultMemberUniqueName="[mmmm].[Sick Leaves].[All]" allUniqueName="[mmmm].[Sick Leaves].[All]" dimensionUniqueName="[mmmm]" displayFolder="" count="0" memberValueDatatype="20" unbalanced="0"/>
    <cacheHierarchy uniqueName="[mmmm].[Unpaid Leaves]" caption="Unpaid Leaves" attribute="1" defaultMemberUniqueName="[mmmm].[Unpaid Leaves].[All]" allUniqueName="[mmmm].[Unpaid Leaves].[All]" dimensionUniqueName="[mmmm]" displayFolder="" count="0" memberValueDatatype="20" unbalanced="0"/>
    <cacheHierarchy uniqueName="[mmmm].[Overtime Hours]" caption="Overtime Hours" attribute="1" defaultMemberUniqueName="[mmmm].[Overtime Hours].[All]" allUniqueName="[mmmm].[Overtime Hours].[All]" dimensionUniqueName="[mmmm]" displayFolder="" count="0" memberValueDatatype="20" unbalanced="0"/>
    <cacheHierarchy uniqueName="[mmmm].[Start Date (Year)]" caption="Start Date (Year)" attribute="1" defaultMemberUniqueName="[mmmm].[Start Date (Year)].[All]" allUniqueName="[mmmm].[Start Date (Year)].[All]" dimensionUniqueName="[mmmm]" displayFolder="" count="0" memberValueDatatype="130" unbalanced="0"/>
    <cacheHierarchy uniqueName="[mmmm].[Start Date (Quarter)]" caption="Start Date (Quarter)" attribute="1" defaultMemberUniqueName="[mmmm].[Start Date (Quarter)].[All]" allUniqueName="[mmmm].[Start Date (Quarter)].[All]" dimensionUniqueName="[mmmm]" displayFolder="" count="0" memberValueDatatype="130" unbalanced="0"/>
    <cacheHierarchy uniqueName="[mmmm].[Start Date (Month)]" caption="Start Date (Month)" attribute="1" defaultMemberUniqueName="[mmmm].[Start Date (Month)].[All]" allUniqueName="[mmmm].[Start Date (Month)].[All]" dimensionUniqueName="[mmmm]" displayFolder="" count="0" memberValueDatatype="130" unbalanced="0"/>
    <cacheHierarchy uniqueName="[mmmm].[Start Date (Month Index)]" caption="Start Date (Month Index)" attribute="1" defaultMemberUniqueName="[mmmm].[Start Date (Month Index)].[All]" allUniqueName="[mmmm].[Start Date (Month Index)].[All]" dimensionUniqueName="[mmmm]" displayFolder="" count="0" memberValueDatatype="20" unbalanced="0" hidden="1"/>
    <cacheHierarchy uniqueName="[Measures].[__XL_Count mmmm]" caption="__XL_Count mmmm" measure="1" displayFolder="" measureGroup="mmmm" count="0" hidden="1"/>
    <cacheHierarchy uniqueName="[Measures].[__No measures defined]" caption="__No measures defined" measure="1" displayFolder="" count="0" hidden="1"/>
    <cacheHierarchy uniqueName="[Measures].[Sum of ID]" caption="Sum of ID" measure="1" displayFolder="" measureGroup="mmmm"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mmmm"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mmmm"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mmmm"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mmmm" count="0" hidden="1">
      <extLst>
        <ext xmlns:x15="http://schemas.microsoft.com/office/spreadsheetml/2010/11/main" uri="{B97F6D7D-B522-45F9-BDA1-12C45D357490}">
          <x15:cacheHierarchy aggregatedColumn="10"/>
        </ext>
      </extLst>
    </cacheHierarchy>
    <cacheHierarchy uniqueName="[Measures].[Sum of Unpaid Leaves]" caption="Sum of Unpaid Leaves" measure="1" displayFolder="" measureGroup="mmmm"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mmmm"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mmmm" count="0" hidden="1">
      <extLst>
        <ext xmlns:x15="http://schemas.microsoft.com/office/spreadsheetml/2010/11/main" uri="{B97F6D7D-B522-45F9-BDA1-12C45D357490}">
          <x15:cacheHierarchy aggregatedColumn="15"/>
        </ext>
      </extLst>
    </cacheHierarchy>
    <cacheHierarchy uniqueName="[Measures].[Sum of Annual Salary]" caption="Sum of Annual Salary" measure="1" displayFolder="" measureGroup="mmmm" count="0" hidden="1">
      <extLst>
        <ext xmlns:x15="http://schemas.microsoft.com/office/spreadsheetml/2010/11/main" uri="{B97F6D7D-B522-45F9-BDA1-12C45D357490}">
          <x15:cacheHierarchy aggregatedColumn="11"/>
        </ext>
      </extLst>
    </cacheHierarchy>
    <cacheHierarchy uniqueName="[Measures].[Average of Annual Salary]" caption="Average of Annual Salary" measure="1" displayFolder="" measureGroup="mmmm"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mmmm" count="0" hidden="1">
      <extLst>
        <ext xmlns:x15="http://schemas.microsoft.com/office/spreadsheetml/2010/11/main" uri="{B97F6D7D-B522-45F9-BDA1-12C45D357490}">
          <x15:cacheHierarchy aggregatedColumn="12"/>
        </ext>
      </extLst>
    </cacheHierarchy>
    <cacheHierarchy uniqueName="[Measures].[Sum of Years]" caption="Sum of Years" measure="1" displayFolder="" measureGroup="mmmm" count="0" hidden="1">
      <extLst>
        <ext xmlns:x15="http://schemas.microsoft.com/office/spreadsheetml/2010/11/main" uri="{B97F6D7D-B522-45F9-BDA1-12C45D357490}">
          <x15:cacheHierarchy aggregatedColumn="6"/>
        </ext>
      </extLst>
    </cacheHierarchy>
    <cacheHierarchy uniqueName="[Measures].[Average of Sick Leaves]" caption="Average of Sick Leaves" measure="1" displayFolder="" measureGroup="mmmm"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mmmm" count="0" hidden="1">
      <extLst>
        <ext xmlns:x15="http://schemas.microsoft.com/office/spreadsheetml/2010/11/main" uri="{B97F6D7D-B522-45F9-BDA1-12C45D357490}">
          <x15:cacheHierarchy aggregatedColumn="14"/>
        </ext>
      </extLst>
    </cacheHierarchy>
    <cacheHierarchy uniqueName="[Measures].[Average of Job Rate]" caption="Average of Job Rate" measure="1" displayFolder="" measureGroup="mmmm" count="0" hidden="1">
      <extLst>
        <ext xmlns:x15="http://schemas.microsoft.com/office/spreadsheetml/2010/11/main" uri="{B97F6D7D-B522-45F9-BDA1-12C45D357490}">
          <x15:cacheHierarchy aggregatedColumn="12"/>
        </ext>
      </extLst>
    </cacheHierarchy>
    <cacheHierarchy uniqueName="[Measures].[Average of Years]" caption="Average of Years" measure="1" displayFolder="" measureGroup="mmmm" count="0" oneField="1" hidden="1">
      <fieldsUsage count="1">
        <fieldUsage x="1"/>
      </fieldsUsage>
      <extLst>
        <ext xmlns:x15="http://schemas.microsoft.com/office/spreadsheetml/2010/11/main" uri="{B97F6D7D-B522-45F9-BDA1-12C45D357490}">
          <x15:cacheHierarchy aggregatedColumn="6"/>
        </ext>
      </extLst>
    </cacheHierarchy>
    <cacheHierarchy uniqueName="[Measures].[Average of ID]" caption="Average of ID" measure="1" displayFolder="" measureGroup="mmmm"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mmm" uniqueName="[mmmm]" caption="mmmm"/>
  </dimensions>
  <measureGroups count="1">
    <measureGroup name="mmmm" caption="mmmm"/>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353692245371" backgroundQuery="1" createdVersion="8" refreshedVersion="8" minRefreshableVersion="3" recordCount="0" supportSubquery="1" supportAdvancedDrill="1" xr:uid="{474C1068-C8EF-472A-8FC6-8584E5F272A0}">
  <cacheSource type="external" connectionId="2"/>
  <cacheFields count="2">
    <cacheField name="[Measures].[Average of Sick Leaves]" caption="Average of Sick Leaves" numFmtId="0" hierarchy="34" level="32767"/>
    <cacheField name="[mmmm].[Department].[Department]" caption="Department" numFmtId="0" hierarchy="7" level="1">
      <sharedItems containsSemiMixedTypes="0" containsNonDate="0" containsString="0"/>
    </cacheField>
  </cacheFields>
  <cacheHierarchies count="39">
    <cacheHierarchy uniqueName="[mmmm].[ID]" caption="ID" attribute="1" defaultMemberUniqueName="[mmmm].[ID].[All]" allUniqueName="[mmmm].[ID].[All]" dimensionUniqueName="[mmmm]" displayFolder="" count="2" memberValueDatatype="20" unbalanced="0"/>
    <cacheHierarchy uniqueName="[mmmm].[First Name]" caption="First Name" attribute="1" defaultMemberUniqueName="[mmmm].[First Name].[All]" allUniqueName="[mmmm].[First Name].[All]" dimensionUniqueName="[mmmm]" displayFolder="" count="0" memberValueDatatype="130" unbalanced="0"/>
    <cacheHierarchy uniqueName="[mmmm].[Last Name]" caption="Last Name" attribute="1" defaultMemberUniqueName="[mmmm].[Last Name].[All]" allUniqueName="[mmmm].[Last Name].[All]" dimensionUniqueName="[mmmm]" displayFolder="" count="0" memberValueDatatype="130" unbalanced="0"/>
    <cacheHierarchy uniqueName="[mmmm].[Empolyee name]" caption="Empolyee name" attribute="1" defaultMemberUniqueName="[mmmm].[Empolyee name].[All]" allUniqueName="[mmmm].[Empolyee name].[All]" dimensionUniqueName="[mmmm]" displayFolder="" count="0" memberValueDatatype="130" unbalanced="0"/>
    <cacheHierarchy uniqueName="[mmmm].[Gender]" caption="Gender" attribute="1" defaultMemberUniqueName="[mmmm].[Gender].[All]" allUniqueName="[mmmm].[Gender].[All]" dimensionUniqueName="[mmmm]" displayFolder="" count="0" memberValueDatatype="130" unbalanced="0"/>
    <cacheHierarchy uniqueName="[mmmm].[Start Date]" caption="Start Date" attribute="1" time="1" defaultMemberUniqueName="[mmmm].[Start Date].[All]" allUniqueName="[mmmm].[Start Date].[All]" dimensionUniqueName="[mmmm]" displayFolder="" count="0" memberValueDatatype="7" unbalanced="0"/>
    <cacheHierarchy uniqueName="[mmmm].[Years]" caption="Years" attribute="1" defaultMemberUniqueName="[mmmm].[Years].[All]" allUniqueName="[mmmm].[Years].[All]" dimensionUniqueName="[mmmm]" displayFolder="" count="0" memberValueDatatype="20" unbalanced="0"/>
    <cacheHierarchy uniqueName="[mmmm].[Department]" caption="Department" attribute="1" defaultMemberUniqueName="[mmmm].[Department].[All]" allUniqueName="[mmmm].[Department].[All]" dimensionUniqueName="[mmmm]" displayFolder="" count="2" memberValueDatatype="130" unbalanced="0">
      <fieldsUsage count="2">
        <fieldUsage x="-1"/>
        <fieldUsage x="1"/>
      </fieldsUsage>
    </cacheHierarchy>
    <cacheHierarchy uniqueName="[mmmm].[Country]" caption="Country" attribute="1" defaultMemberUniqueName="[mmmm].[Country].[All]" allUniqueName="[mmmm].[Country].[All]" dimensionUniqueName="[mmmm]" displayFolder="" count="2" memberValueDatatype="130" unbalanced="0"/>
    <cacheHierarchy uniqueName="[mmmm].[Center]" caption="Center" attribute="1" defaultMemberUniqueName="[mmmm].[Center].[All]" allUniqueName="[mmmm].[Center].[All]" dimensionUniqueName="[mmmm]" displayFolder="" count="0" memberValueDatatype="130" unbalanced="0"/>
    <cacheHierarchy uniqueName="[mmmm].[Monthly Salary]" caption="Monthly Salary" attribute="1" defaultMemberUniqueName="[mmmm].[Monthly Salary].[All]" allUniqueName="[mmmm].[Monthly Salary].[All]" dimensionUniqueName="[mmmm]" displayFolder="" count="0" memberValueDatatype="20" unbalanced="0"/>
    <cacheHierarchy uniqueName="[mmmm].[Annual Salary]" caption="Annual Salary" attribute="1" defaultMemberUniqueName="[mmmm].[Annual Salary].[All]" allUniqueName="[mmmm].[Annual Salary].[All]" dimensionUniqueName="[mmmm]" displayFolder="" count="0" memberValueDatatype="20" unbalanced="0"/>
    <cacheHierarchy uniqueName="[mmmm].[Job Rate]" caption="Job Rate" attribute="1" defaultMemberUniqueName="[mmmm].[Job Rate].[All]" allUniqueName="[mmmm].[Job Rate].[All]" dimensionUniqueName="[mmmm]" displayFolder="" count="0" memberValueDatatype="5" unbalanced="0"/>
    <cacheHierarchy uniqueName="[mmmm].[Sick Leaves]" caption="Sick Leaves" attribute="1" defaultMemberUniqueName="[mmmm].[Sick Leaves].[All]" allUniqueName="[mmmm].[Sick Leaves].[All]" dimensionUniqueName="[mmmm]" displayFolder="" count="0" memberValueDatatype="20" unbalanced="0"/>
    <cacheHierarchy uniqueName="[mmmm].[Unpaid Leaves]" caption="Unpaid Leaves" attribute="1" defaultMemberUniqueName="[mmmm].[Unpaid Leaves].[All]" allUniqueName="[mmmm].[Unpaid Leaves].[All]" dimensionUniqueName="[mmmm]" displayFolder="" count="0" memberValueDatatype="20" unbalanced="0"/>
    <cacheHierarchy uniqueName="[mmmm].[Overtime Hours]" caption="Overtime Hours" attribute="1" defaultMemberUniqueName="[mmmm].[Overtime Hours].[All]" allUniqueName="[mmmm].[Overtime Hours].[All]" dimensionUniqueName="[mmmm]" displayFolder="" count="0" memberValueDatatype="20" unbalanced="0"/>
    <cacheHierarchy uniqueName="[mmmm].[Start Date (Year)]" caption="Start Date (Year)" attribute="1" defaultMemberUniqueName="[mmmm].[Start Date (Year)].[All]" allUniqueName="[mmmm].[Start Date (Year)].[All]" dimensionUniqueName="[mmmm]" displayFolder="" count="0" memberValueDatatype="130" unbalanced="0"/>
    <cacheHierarchy uniqueName="[mmmm].[Start Date (Quarter)]" caption="Start Date (Quarter)" attribute="1" defaultMemberUniqueName="[mmmm].[Start Date (Quarter)].[All]" allUniqueName="[mmmm].[Start Date (Quarter)].[All]" dimensionUniqueName="[mmmm]" displayFolder="" count="0" memberValueDatatype="130" unbalanced="0"/>
    <cacheHierarchy uniqueName="[mmmm].[Start Date (Month)]" caption="Start Date (Month)" attribute="1" defaultMemberUniqueName="[mmmm].[Start Date (Month)].[All]" allUniqueName="[mmmm].[Start Date (Month)].[All]" dimensionUniqueName="[mmmm]" displayFolder="" count="0" memberValueDatatype="130" unbalanced="0"/>
    <cacheHierarchy uniqueName="[mmmm].[Start Date (Month Index)]" caption="Start Date (Month Index)" attribute="1" defaultMemberUniqueName="[mmmm].[Start Date (Month Index)].[All]" allUniqueName="[mmmm].[Start Date (Month Index)].[All]" dimensionUniqueName="[mmmm]" displayFolder="" count="0" memberValueDatatype="20" unbalanced="0" hidden="1"/>
    <cacheHierarchy uniqueName="[Measures].[__XL_Count mmmm]" caption="__XL_Count mmmm" measure="1" displayFolder="" measureGroup="mmmm" count="0" hidden="1"/>
    <cacheHierarchy uniqueName="[Measures].[__No measures defined]" caption="__No measures defined" measure="1" displayFolder="" count="0" hidden="1"/>
    <cacheHierarchy uniqueName="[Measures].[Sum of ID]" caption="Sum of ID" measure="1" displayFolder="" measureGroup="mmmm"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mmmm"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mmmm"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mmmm"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mmmm" count="0" hidden="1">
      <extLst>
        <ext xmlns:x15="http://schemas.microsoft.com/office/spreadsheetml/2010/11/main" uri="{B97F6D7D-B522-45F9-BDA1-12C45D357490}">
          <x15:cacheHierarchy aggregatedColumn="10"/>
        </ext>
      </extLst>
    </cacheHierarchy>
    <cacheHierarchy uniqueName="[Measures].[Sum of Unpaid Leaves]" caption="Sum of Unpaid Leaves" measure="1" displayFolder="" measureGroup="mmmm"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mmmm"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mmmm" count="0" hidden="1">
      <extLst>
        <ext xmlns:x15="http://schemas.microsoft.com/office/spreadsheetml/2010/11/main" uri="{B97F6D7D-B522-45F9-BDA1-12C45D357490}">
          <x15:cacheHierarchy aggregatedColumn="15"/>
        </ext>
      </extLst>
    </cacheHierarchy>
    <cacheHierarchy uniqueName="[Measures].[Sum of Annual Salary]" caption="Sum of Annual Salary" measure="1" displayFolder="" measureGroup="mmmm" count="0" hidden="1">
      <extLst>
        <ext xmlns:x15="http://schemas.microsoft.com/office/spreadsheetml/2010/11/main" uri="{B97F6D7D-B522-45F9-BDA1-12C45D357490}">
          <x15:cacheHierarchy aggregatedColumn="11"/>
        </ext>
      </extLst>
    </cacheHierarchy>
    <cacheHierarchy uniqueName="[Measures].[Average of Annual Salary]" caption="Average of Annual Salary" measure="1" displayFolder="" measureGroup="mmmm"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mmmm" count="0" hidden="1">
      <extLst>
        <ext xmlns:x15="http://schemas.microsoft.com/office/spreadsheetml/2010/11/main" uri="{B97F6D7D-B522-45F9-BDA1-12C45D357490}">
          <x15:cacheHierarchy aggregatedColumn="12"/>
        </ext>
      </extLst>
    </cacheHierarchy>
    <cacheHierarchy uniqueName="[Measures].[Sum of Years]" caption="Sum of Years" measure="1" displayFolder="" measureGroup="mmmm" count="0" hidden="1">
      <extLst>
        <ext xmlns:x15="http://schemas.microsoft.com/office/spreadsheetml/2010/11/main" uri="{B97F6D7D-B522-45F9-BDA1-12C45D357490}">
          <x15:cacheHierarchy aggregatedColumn="6"/>
        </ext>
      </extLst>
    </cacheHierarchy>
    <cacheHierarchy uniqueName="[Measures].[Average of Sick Leaves]" caption="Average of Sick Leaves" measure="1" displayFolder="" measureGroup="mmmm" count="0" oneField="1" hidden="1">
      <fieldsUsage count="1">
        <fieldUsage x="0"/>
      </fieldsUsage>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mmmm" count="0" hidden="1">
      <extLst>
        <ext xmlns:x15="http://schemas.microsoft.com/office/spreadsheetml/2010/11/main" uri="{B97F6D7D-B522-45F9-BDA1-12C45D357490}">
          <x15:cacheHierarchy aggregatedColumn="14"/>
        </ext>
      </extLst>
    </cacheHierarchy>
    <cacheHierarchy uniqueName="[Measures].[Average of Job Rate]" caption="Average of Job Rate" measure="1" displayFolder="" measureGroup="mmmm" count="0" hidden="1">
      <extLst>
        <ext xmlns:x15="http://schemas.microsoft.com/office/spreadsheetml/2010/11/main" uri="{B97F6D7D-B522-45F9-BDA1-12C45D357490}">
          <x15:cacheHierarchy aggregatedColumn="12"/>
        </ext>
      </extLst>
    </cacheHierarchy>
    <cacheHierarchy uniqueName="[Measures].[Average of Years]" caption="Average of Years" measure="1" displayFolder="" measureGroup="mmmm" count="0" hidden="1">
      <extLst>
        <ext xmlns:x15="http://schemas.microsoft.com/office/spreadsheetml/2010/11/main" uri="{B97F6D7D-B522-45F9-BDA1-12C45D357490}">
          <x15:cacheHierarchy aggregatedColumn="6"/>
        </ext>
      </extLst>
    </cacheHierarchy>
    <cacheHierarchy uniqueName="[Measures].[Average of ID]" caption="Average of ID" measure="1" displayFolder="" measureGroup="mmmm"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mmm" uniqueName="[mmmm]" caption="mmmm"/>
  </dimensions>
  <measureGroups count="1">
    <measureGroup name="mmmm" caption="mmmm"/>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353693287034" backgroundQuery="1" createdVersion="8" refreshedVersion="8" minRefreshableVersion="3" recordCount="0" supportSubquery="1" supportAdvancedDrill="1" xr:uid="{86E4E8C7-6BBB-4108-98E2-9259DF565729}">
  <cacheSource type="external" connectionId="2"/>
  <cacheFields count="3">
    <cacheField name="[mmmm].[ID].[ID]" caption="ID" numFmtId="0" level="1">
      <sharedItems containsSemiMixedTypes="0" containsString="0" containsNumber="1" containsInteger="1" minValue="1" maxValue="689" count="68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sharedItems>
      <extLst>
        <ext xmlns:x15="http://schemas.microsoft.com/office/spreadsheetml/2010/11/main" uri="{4F2E5C28-24EA-4eb8-9CBF-B6C8F9C3D259}">
          <x15:cachedUniqueNames>
            <x15:cachedUniqueName index="0" name="[mmmm].[ID].&amp;[1]"/>
            <x15:cachedUniqueName index="1" name="[mmmm].[ID].&amp;[2]"/>
            <x15:cachedUniqueName index="2" name="[mmmm].[ID].&amp;[3]"/>
            <x15:cachedUniqueName index="3" name="[mmmm].[ID].&amp;[4]"/>
            <x15:cachedUniqueName index="4" name="[mmmm].[ID].&amp;[5]"/>
            <x15:cachedUniqueName index="5" name="[mmmm].[ID].&amp;[6]"/>
            <x15:cachedUniqueName index="6" name="[mmmm].[ID].&amp;[7]"/>
            <x15:cachedUniqueName index="7" name="[mmmm].[ID].&amp;[8]"/>
            <x15:cachedUniqueName index="8" name="[mmmm].[ID].&amp;[9]"/>
            <x15:cachedUniqueName index="9" name="[mmmm].[ID].&amp;[10]"/>
            <x15:cachedUniqueName index="10" name="[mmmm].[ID].&amp;[11]"/>
            <x15:cachedUniqueName index="11" name="[mmmm].[ID].&amp;[12]"/>
            <x15:cachedUniqueName index="12" name="[mmmm].[ID].&amp;[13]"/>
            <x15:cachedUniqueName index="13" name="[mmmm].[ID].&amp;[14]"/>
            <x15:cachedUniqueName index="14" name="[mmmm].[ID].&amp;[15]"/>
            <x15:cachedUniqueName index="15" name="[mmmm].[ID].&amp;[16]"/>
            <x15:cachedUniqueName index="16" name="[mmmm].[ID].&amp;[17]"/>
            <x15:cachedUniqueName index="17" name="[mmmm].[ID].&amp;[18]"/>
            <x15:cachedUniqueName index="18" name="[mmmm].[ID].&amp;[19]"/>
            <x15:cachedUniqueName index="19" name="[mmmm].[ID].&amp;[20]"/>
            <x15:cachedUniqueName index="20" name="[mmmm].[ID].&amp;[21]"/>
            <x15:cachedUniqueName index="21" name="[mmmm].[ID].&amp;[22]"/>
            <x15:cachedUniqueName index="22" name="[mmmm].[ID].&amp;[23]"/>
            <x15:cachedUniqueName index="23" name="[mmmm].[ID].&amp;[24]"/>
            <x15:cachedUniqueName index="24" name="[mmmm].[ID].&amp;[25]"/>
            <x15:cachedUniqueName index="25" name="[mmmm].[ID].&amp;[26]"/>
            <x15:cachedUniqueName index="26" name="[mmmm].[ID].&amp;[27]"/>
            <x15:cachedUniqueName index="27" name="[mmmm].[ID].&amp;[28]"/>
            <x15:cachedUniqueName index="28" name="[mmmm].[ID].&amp;[29]"/>
            <x15:cachedUniqueName index="29" name="[mmmm].[ID].&amp;[30]"/>
            <x15:cachedUniqueName index="30" name="[mmmm].[ID].&amp;[31]"/>
            <x15:cachedUniqueName index="31" name="[mmmm].[ID].&amp;[32]"/>
            <x15:cachedUniqueName index="32" name="[mmmm].[ID].&amp;[33]"/>
            <x15:cachedUniqueName index="33" name="[mmmm].[ID].&amp;[34]"/>
            <x15:cachedUniqueName index="34" name="[mmmm].[ID].&amp;[35]"/>
            <x15:cachedUniqueName index="35" name="[mmmm].[ID].&amp;[36]"/>
            <x15:cachedUniqueName index="36" name="[mmmm].[ID].&amp;[37]"/>
            <x15:cachedUniqueName index="37" name="[mmmm].[ID].&amp;[38]"/>
            <x15:cachedUniqueName index="38" name="[mmmm].[ID].&amp;[39]"/>
            <x15:cachedUniqueName index="39" name="[mmmm].[ID].&amp;[40]"/>
            <x15:cachedUniqueName index="40" name="[mmmm].[ID].&amp;[41]"/>
            <x15:cachedUniqueName index="41" name="[mmmm].[ID].&amp;[42]"/>
            <x15:cachedUniqueName index="42" name="[mmmm].[ID].&amp;[43]"/>
            <x15:cachedUniqueName index="43" name="[mmmm].[ID].&amp;[44]"/>
            <x15:cachedUniqueName index="44" name="[mmmm].[ID].&amp;[45]"/>
            <x15:cachedUniqueName index="45" name="[mmmm].[ID].&amp;[46]"/>
            <x15:cachedUniqueName index="46" name="[mmmm].[ID].&amp;[47]"/>
            <x15:cachedUniqueName index="47" name="[mmmm].[ID].&amp;[48]"/>
            <x15:cachedUniqueName index="48" name="[mmmm].[ID].&amp;[49]"/>
            <x15:cachedUniqueName index="49" name="[mmmm].[ID].&amp;[50]"/>
            <x15:cachedUniqueName index="50" name="[mmmm].[ID].&amp;[51]"/>
            <x15:cachedUniqueName index="51" name="[mmmm].[ID].&amp;[52]"/>
            <x15:cachedUniqueName index="52" name="[mmmm].[ID].&amp;[53]"/>
            <x15:cachedUniqueName index="53" name="[mmmm].[ID].&amp;[54]"/>
            <x15:cachedUniqueName index="54" name="[mmmm].[ID].&amp;[55]"/>
            <x15:cachedUniqueName index="55" name="[mmmm].[ID].&amp;[56]"/>
            <x15:cachedUniqueName index="56" name="[mmmm].[ID].&amp;[57]"/>
            <x15:cachedUniqueName index="57" name="[mmmm].[ID].&amp;[58]"/>
            <x15:cachedUniqueName index="58" name="[mmmm].[ID].&amp;[59]"/>
            <x15:cachedUniqueName index="59" name="[mmmm].[ID].&amp;[60]"/>
            <x15:cachedUniqueName index="60" name="[mmmm].[ID].&amp;[61]"/>
            <x15:cachedUniqueName index="61" name="[mmmm].[ID].&amp;[62]"/>
            <x15:cachedUniqueName index="62" name="[mmmm].[ID].&amp;[63]"/>
            <x15:cachedUniqueName index="63" name="[mmmm].[ID].&amp;[64]"/>
            <x15:cachedUniqueName index="64" name="[mmmm].[ID].&amp;[65]"/>
            <x15:cachedUniqueName index="65" name="[mmmm].[ID].&amp;[66]"/>
            <x15:cachedUniqueName index="66" name="[mmmm].[ID].&amp;[67]"/>
            <x15:cachedUniqueName index="67" name="[mmmm].[ID].&amp;[68]"/>
            <x15:cachedUniqueName index="68" name="[mmmm].[ID].&amp;[69]"/>
            <x15:cachedUniqueName index="69" name="[mmmm].[ID].&amp;[70]"/>
            <x15:cachedUniqueName index="70" name="[mmmm].[ID].&amp;[71]"/>
            <x15:cachedUniqueName index="71" name="[mmmm].[ID].&amp;[72]"/>
            <x15:cachedUniqueName index="72" name="[mmmm].[ID].&amp;[73]"/>
            <x15:cachedUniqueName index="73" name="[mmmm].[ID].&amp;[74]"/>
            <x15:cachedUniqueName index="74" name="[mmmm].[ID].&amp;[75]"/>
            <x15:cachedUniqueName index="75" name="[mmmm].[ID].&amp;[76]"/>
            <x15:cachedUniqueName index="76" name="[mmmm].[ID].&amp;[77]"/>
            <x15:cachedUniqueName index="77" name="[mmmm].[ID].&amp;[78]"/>
            <x15:cachedUniqueName index="78" name="[mmmm].[ID].&amp;[79]"/>
            <x15:cachedUniqueName index="79" name="[mmmm].[ID].&amp;[80]"/>
            <x15:cachedUniqueName index="80" name="[mmmm].[ID].&amp;[81]"/>
            <x15:cachedUniqueName index="81" name="[mmmm].[ID].&amp;[82]"/>
            <x15:cachedUniqueName index="82" name="[mmmm].[ID].&amp;[83]"/>
            <x15:cachedUniqueName index="83" name="[mmmm].[ID].&amp;[84]"/>
            <x15:cachedUniqueName index="84" name="[mmmm].[ID].&amp;[85]"/>
            <x15:cachedUniqueName index="85" name="[mmmm].[ID].&amp;[86]"/>
            <x15:cachedUniqueName index="86" name="[mmmm].[ID].&amp;[87]"/>
            <x15:cachedUniqueName index="87" name="[mmmm].[ID].&amp;[88]"/>
            <x15:cachedUniqueName index="88" name="[mmmm].[ID].&amp;[89]"/>
            <x15:cachedUniqueName index="89" name="[mmmm].[ID].&amp;[90]"/>
            <x15:cachedUniqueName index="90" name="[mmmm].[ID].&amp;[91]"/>
            <x15:cachedUniqueName index="91" name="[mmmm].[ID].&amp;[92]"/>
            <x15:cachedUniqueName index="92" name="[mmmm].[ID].&amp;[93]"/>
            <x15:cachedUniqueName index="93" name="[mmmm].[ID].&amp;[94]"/>
            <x15:cachedUniqueName index="94" name="[mmmm].[ID].&amp;[95]"/>
            <x15:cachedUniqueName index="95" name="[mmmm].[ID].&amp;[96]"/>
            <x15:cachedUniqueName index="96" name="[mmmm].[ID].&amp;[97]"/>
            <x15:cachedUniqueName index="97" name="[mmmm].[ID].&amp;[98]"/>
            <x15:cachedUniqueName index="98" name="[mmmm].[ID].&amp;[99]"/>
            <x15:cachedUniqueName index="99" name="[mmmm].[ID].&amp;[100]"/>
            <x15:cachedUniqueName index="100" name="[mmmm].[ID].&amp;[101]"/>
            <x15:cachedUniqueName index="101" name="[mmmm].[ID].&amp;[102]"/>
            <x15:cachedUniqueName index="102" name="[mmmm].[ID].&amp;[103]"/>
            <x15:cachedUniqueName index="103" name="[mmmm].[ID].&amp;[104]"/>
            <x15:cachedUniqueName index="104" name="[mmmm].[ID].&amp;[105]"/>
            <x15:cachedUniqueName index="105" name="[mmmm].[ID].&amp;[106]"/>
            <x15:cachedUniqueName index="106" name="[mmmm].[ID].&amp;[107]"/>
            <x15:cachedUniqueName index="107" name="[mmmm].[ID].&amp;[108]"/>
            <x15:cachedUniqueName index="108" name="[mmmm].[ID].&amp;[109]"/>
            <x15:cachedUniqueName index="109" name="[mmmm].[ID].&amp;[110]"/>
            <x15:cachedUniqueName index="110" name="[mmmm].[ID].&amp;[111]"/>
            <x15:cachedUniqueName index="111" name="[mmmm].[ID].&amp;[112]"/>
            <x15:cachedUniqueName index="112" name="[mmmm].[ID].&amp;[113]"/>
            <x15:cachedUniqueName index="113" name="[mmmm].[ID].&amp;[114]"/>
            <x15:cachedUniqueName index="114" name="[mmmm].[ID].&amp;[115]"/>
            <x15:cachedUniqueName index="115" name="[mmmm].[ID].&amp;[116]"/>
            <x15:cachedUniqueName index="116" name="[mmmm].[ID].&amp;[117]"/>
            <x15:cachedUniqueName index="117" name="[mmmm].[ID].&amp;[118]"/>
            <x15:cachedUniqueName index="118" name="[mmmm].[ID].&amp;[119]"/>
            <x15:cachedUniqueName index="119" name="[mmmm].[ID].&amp;[120]"/>
            <x15:cachedUniqueName index="120" name="[mmmm].[ID].&amp;[121]"/>
            <x15:cachedUniqueName index="121" name="[mmmm].[ID].&amp;[122]"/>
            <x15:cachedUniqueName index="122" name="[mmmm].[ID].&amp;[123]"/>
            <x15:cachedUniqueName index="123" name="[mmmm].[ID].&amp;[124]"/>
            <x15:cachedUniqueName index="124" name="[mmmm].[ID].&amp;[125]"/>
            <x15:cachedUniqueName index="125" name="[mmmm].[ID].&amp;[126]"/>
            <x15:cachedUniqueName index="126" name="[mmmm].[ID].&amp;[127]"/>
            <x15:cachedUniqueName index="127" name="[mmmm].[ID].&amp;[128]"/>
            <x15:cachedUniqueName index="128" name="[mmmm].[ID].&amp;[129]"/>
            <x15:cachedUniqueName index="129" name="[mmmm].[ID].&amp;[130]"/>
            <x15:cachedUniqueName index="130" name="[mmmm].[ID].&amp;[131]"/>
            <x15:cachedUniqueName index="131" name="[mmmm].[ID].&amp;[132]"/>
            <x15:cachedUniqueName index="132" name="[mmmm].[ID].&amp;[133]"/>
            <x15:cachedUniqueName index="133" name="[mmmm].[ID].&amp;[134]"/>
            <x15:cachedUniqueName index="134" name="[mmmm].[ID].&amp;[135]"/>
            <x15:cachedUniqueName index="135" name="[mmmm].[ID].&amp;[136]"/>
            <x15:cachedUniqueName index="136" name="[mmmm].[ID].&amp;[137]"/>
            <x15:cachedUniqueName index="137" name="[mmmm].[ID].&amp;[138]"/>
            <x15:cachedUniqueName index="138" name="[mmmm].[ID].&amp;[139]"/>
            <x15:cachedUniqueName index="139" name="[mmmm].[ID].&amp;[140]"/>
            <x15:cachedUniqueName index="140" name="[mmmm].[ID].&amp;[141]"/>
            <x15:cachedUniqueName index="141" name="[mmmm].[ID].&amp;[142]"/>
            <x15:cachedUniqueName index="142" name="[mmmm].[ID].&amp;[143]"/>
            <x15:cachedUniqueName index="143" name="[mmmm].[ID].&amp;[144]"/>
            <x15:cachedUniqueName index="144" name="[mmmm].[ID].&amp;[145]"/>
            <x15:cachedUniqueName index="145" name="[mmmm].[ID].&amp;[146]"/>
            <x15:cachedUniqueName index="146" name="[mmmm].[ID].&amp;[147]"/>
            <x15:cachedUniqueName index="147" name="[mmmm].[ID].&amp;[148]"/>
            <x15:cachedUniqueName index="148" name="[mmmm].[ID].&amp;[149]"/>
            <x15:cachedUniqueName index="149" name="[mmmm].[ID].&amp;[150]"/>
            <x15:cachedUniqueName index="150" name="[mmmm].[ID].&amp;[151]"/>
            <x15:cachedUniqueName index="151" name="[mmmm].[ID].&amp;[152]"/>
            <x15:cachedUniqueName index="152" name="[mmmm].[ID].&amp;[153]"/>
            <x15:cachedUniqueName index="153" name="[mmmm].[ID].&amp;[154]"/>
            <x15:cachedUniqueName index="154" name="[mmmm].[ID].&amp;[155]"/>
            <x15:cachedUniqueName index="155" name="[mmmm].[ID].&amp;[156]"/>
            <x15:cachedUniqueName index="156" name="[mmmm].[ID].&amp;[157]"/>
            <x15:cachedUniqueName index="157" name="[mmmm].[ID].&amp;[158]"/>
            <x15:cachedUniqueName index="158" name="[mmmm].[ID].&amp;[159]"/>
            <x15:cachedUniqueName index="159" name="[mmmm].[ID].&amp;[160]"/>
            <x15:cachedUniqueName index="160" name="[mmmm].[ID].&amp;[161]"/>
            <x15:cachedUniqueName index="161" name="[mmmm].[ID].&amp;[162]"/>
            <x15:cachedUniqueName index="162" name="[mmmm].[ID].&amp;[163]"/>
            <x15:cachedUniqueName index="163" name="[mmmm].[ID].&amp;[164]"/>
            <x15:cachedUniqueName index="164" name="[mmmm].[ID].&amp;[165]"/>
            <x15:cachedUniqueName index="165" name="[mmmm].[ID].&amp;[166]"/>
            <x15:cachedUniqueName index="166" name="[mmmm].[ID].&amp;[167]"/>
            <x15:cachedUniqueName index="167" name="[mmmm].[ID].&amp;[168]"/>
            <x15:cachedUniqueName index="168" name="[mmmm].[ID].&amp;[169]"/>
            <x15:cachedUniqueName index="169" name="[mmmm].[ID].&amp;[170]"/>
            <x15:cachedUniqueName index="170" name="[mmmm].[ID].&amp;[171]"/>
            <x15:cachedUniqueName index="171" name="[mmmm].[ID].&amp;[172]"/>
            <x15:cachedUniqueName index="172" name="[mmmm].[ID].&amp;[173]"/>
            <x15:cachedUniqueName index="173" name="[mmmm].[ID].&amp;[174]"/>
            <x15:cachedUniqueName index="174" name="[mmmm].[ID].&amp;[175]"/>
            <x15:cachedUniqueName index="175" name="[mmmm].[ID].&amp;[176]"/>
            <x15:cachedUniqueName index="176" name="[mmmm].[ID].&amp;[177]"/>
            <x15:cachedUniqueName index="177" name="[mmmm].[ID].&amp;[178]"/>
            <x15:cachedUniqueName index="178" name="[mmmm].[ID].&amp;[179]"/>
            <x15:cachedUniqueName index="179" name="[mmmm].[ID].&amp;[180]"/>
            <x15:cachedUniqueName index="180" name="[mmmm].[ID].&amp;[181]"/>
            <x15:cachedUniqueName index="181" name="[mmmm].[ID].&amp;[182]"/>
            <x15:cachedUniqueName index="182" name="[mmmm].[ID].&amp;[183]"/>
            <x15:cachedUniqueName index="183" name="[mmmm].[ID].&amp;[184]"/>
            <x15:cachedUniqueName index="184" name="[mmmm].[ID].&amp;[185]"/>
            <x15:cachedUniqueName index="185" name="[mmmm].[ID].&amp;[186]"/>
            <x15:cachedUniqueName index="186" name="[mmmm].[ID].&amp;[187]"/>
            <x15:cachedUniqueName index="187" name="[mmmm].[ID].&amp;[188]"/>
            <x15:cachedUniqueName index="188" name="[mmmm].[ID].&amp;[189]"/>
            <x15:cachedUniqueName index="189" name="[mmmm].[ID].&amp;[190]"/>
            <x15:cachedUniqueName index="190" name="[mmmm].[ID].&amp;[191]"/>
            <x15:cachedUniqueName index="191" name="[mmmm].[ID].&amp;[192]"/>
            <x15:cachedUniqueName index="192" name="[mmmm].[ID].&amp;[193]"/>
            <x15:cachedUniqueName index="193" name="[mmmm].[ID].&amp;[194]"/>
            <x15:cachedUniqueName index="194" name="[mmmm].[ID].&amp;[195]"/>
            <x15:cachedUniqueName index="195" name="[mmmm].[ID].&amp;[196]"/>
            <x15:cachedUniqueName index="196" name="[mmmm].[ID].&amp;[197]"/>
            <x15:cachedUniqueName index="197" name="[mmmm].[ID].&amp;[198]"/>
            <x15:cachedUniqueName index="198" name="[mmmm].[ID].&amp;[199]"/>
            <x15:cachedUniqueName index="199" name="[mmmm].[ID].&amp;[200]"/>
            <x15:cachedUniqueName index="200" name="[mmmm].[ID].&amp;[201]"/>
            <x15:cachedUniqueName index="201" name="[mmmm].[ID].&amp;[202]"/>
            <x15:cachedUniqueName index="202" name="[mmmm].[ID].&amp;[203]"/>
            <x15:cachedUniqueName index="203" name="[mmmm].[ID].&amp;[204]"/>
            <x15:cachedUniqueName index="204" name="[mmmm].[ID].&amp;[205]"/>
            <x15:cachedUniqueName index="205" name="[mmmm].[ID].&amp;[206]"/>
            <x15:cachedUniqueName index="206" name="[mmmm].[ID].&amp;[207]"/>
            <x15:cachedUniqueName index="207" name="[mmmm].[ID].&amp;[208]"/>
            <x15:cachedUniqueName index="208" name="[mmmm].[ID].&amp;[209]"/>
            <x15:cachedUniqueName index="209" name="[mmmm].[ID].&amp;[210]"/>
            <x15:cachedUniqueName index="210" name="[mmmm].[ID].&amp;[211]"/>
            <x15:cachedUniqueName index="211" name="[mmmm].[ID].&amp;[212]"/>
            <x15:cachedUniqueName index="212" name="[mmmm].[ID].&amp;[213]"/>
            <x15:cachedUniqueName index="213" name="[mmmm].[ID].&amp;[214]"/>
            <x15:cachedUniqueName index="214" name="[mmmm].[ID].&amp;[215]"/>
            <x15:cachedUniqueName index="215" name="[mmmm].[ID].&amp;[216]"/>
            <x15:cachedUniqueName index="216" name="[mmmm].[ID].&amp;[217]"/>
            <x15:cachedUniqueName index="217" name="[mmmm].[ID].&amp;[218]"/>
            <x15:cachedUniqueName index="218" name="[mmmm].[ID].&amp;[219]"/>
            <x15:cachedUniqueName index="219" name="[mmmm].[ID].&amp;[220]"/>
            <x15:cachedUniqueName index="220" name="[mmmm].[ID].&amp;[221]"/>
            <x15:cachedUniqueName index="221" name="[mmmm].[ID].&amp;[222]"/>
            <x15:cachedUniqueName index="222" name="[mmmm].[ID].&amp;[223]"/>
            <x15:cachedUniqueName index="223" name="[mmmm].[ID].&amp;[224]"/>
            <x15:cachedUniqueName index="224" name="[mmmm].[ID].&amp;[225]"/>
            <x15:cachedUniqueName index="225" name="[mmmm].[ID].&amp;[226]"/>
            <x15:cachedUniqueName index="226" name="[mmmm].[ID].&amp;[227]"/>
            <x15:cachedUniqueName index="227" name="[mmmm].[ID].&amp;[228]"/>
            <x15:cachedUniqueName index="228" name="[mmmm].[ID].&amp;[229]"/>
            <x15:cachedUniqueName index="229" name="[mmmm].[ID].&amp;[230]"/>
            <x15:cachedUniqueName index="230" name="[mmmm].[ID].&amp;[231]"/>
            <x15:cachedUniqueName index="231" name="[mmmm].[ID].&amp;[232]"/>
            <x15:cachedUniqueName index="232" name="[mmmm].[ID].&amp;[233]"/>
            <x15:cachedUniqueName index="233" name="[mmmm].[ID].&amp;[234]"/>
            <x15:cachedUniqueName index="234" name="[mmmm].[ID].&amp;[235]"/>
            <x15:cachedUniqueName index="235" name="[mmmm].[ID].&amp;[236]"/>
            <x15:cachedUniqueName index="236" name="[mmmm].[ID].&amp;[237]"/>
            <x15:cachedUniqueName index="237" name="[mmmm].[ID].&amp;[238]"/>
            <x15:cachedUniqueName index="238" name="[mmmm].[ID].&amp;[239]"/>
            <x15:cachedUniqueName index="239" name="[mmmm].[ID].&amp;[240]"/>
            <x15:cachedUniqueName index="240" name="[mmmm].[ID].&amp;[241]"/>
            <x15:cachedUniqueName index="241" name="[mmmm].[ID].&amp;[242]"/>
            <x15:cachedUniqueName index="242" name="[mmmm].[ID].&amp;[243]"/>
            <x15:cachedUniqueName index="243" name="[mmmm].[ID].&amp;[244]"/>
            <x15:cachedUniqueName index="244" name="[mmmm].[ID].&amp;[245]"/>
            <x15:cachedUniqueName index="245" name="[mmmm].[ID].&amp;[246]"/>
            <x15:cachedUniqueName index="246" name="[mmmm].[ID].&amp;[247]"/>
            <x15:cachedUniqueName index="247" name="[mmmm].[ID].&amp;[248]"/>
            <x15:cachedUniqueName index="248" name="[mmmm].[ID].&amp;[249]"/>
            <x15:cachedUniqueName index="249" name="[mmmm].[ID].&amp;[250]"/>
            <x15:cachedUniqueName index="250" name="[mmmm].[ID].&amp;[251]"/>
            <x15:cachedUniqueName index="251" name="[mmmm].[ID].&amp;[252]"/>
            <x15:cachedUniqueName index="252" name="[mmmm].[ID].&amp;[253]"/>
            <x15:cachedUniqueName index="253" name="[mmmm].[ID].&amp;[254]"/>
            <x15:cachedUniqueName index="254" name="[mmmm].[ID].&amp;[255]"/>
            <x15:cachedUniqueName index="255" name="[mmmm].[ID].&amp;[256]"/>
            <x15:cachedUniqueName index="256" name="[mmmm].[ID].&amp;[257]"/>
            <x15:cachedUniqueName index="257" name="[mmmm].[ID].&amp;[258]"/>
            <x15:cachedUniqueName index="258" name="[mmmm].[ID].&amp;[259]"/>
            <x15:cachedUniqueName index="259" name="[mmmm].[ID].&amp;[260]"/>
            <x15:cachedUniqueName index="260" name="[mmmm].[ID].&amp;[261]"/>
            <x15:cachedUniqueName index="261" name="[mmmm].[ID].&amp;[262]"/>
            <x15:cachedUniqueName index="262" name="[mmmm].[ID].&amp;[263]"/>
            <x15:cachedUniqueName index="263" name="[mmmm].[ID].&amp;[264]"/>
            <x15:cachedUniqueName index="264" name="[mmmm].[ID].&amp;[265]"/>
            <x15:cachedUniqueName index="265" name="[mmmm].[ID].&amp;[266]"/>
            <x15:cachedUniqueName index="266" name="[mmmm].[ID].&amp;[267]"/>
            <x15:cachedUniqueName index="267" name="[mmmm].[ID].&amp;[268]"/>
            <x15:cachedUniqueName index="268" name="[mmmm].[ID].&amp;[269]"/>
            <x15:cachedUniqueName index="269" name="[mmmm].[ID].&amp;[270]"/>
            <x15:cachedUniqueName index="270" name="[mmmm].[ID].&amp;[271]"/>
            <x15:cachedUniqueName index="271" name="[mmmm].[ID].&amp;[272]"/>
            <x15:cachedUniqueName index="272" name="[mmmm].[ID].&amp;[273]"/>
            <x15:cachedUniqueName index="273" name="[mmmm].[ID].&amp;[274]"/>
            <x15:cachedUniqueName index="274" name="[mmmm].[ID].&amp;[275]"/>
            <x15:cachedUniqueName index="275" name="[mmmm].[ID].&amp;[276]"/>
            <x15:cachedUniqueName index="276" name="[mmmm].[ID].&amp;[277]"/>
            <x15:cachedUniqueName index="277" name="[mmmm].[ID].&amp;[278]"/>
            <x15:cachedUniqueName index="278" name="[mmmm].[ID].&amp;[279]"/>
            <x15:cachedUniqueName index="279" name="[mmmm].[ID].&amp;[280]"/>
            <x15:cachedUniqueName index="280" name="[mmmm].[ID].&amp;[281]"/>
            <x15:cachedUniqueName index="281" name="[mmmm].[ID].&amp;[282]"/>
            <x15:cachedUniqueName index="282" name="[mmmm].[ID].&amp;[283]"/>
            <x15:cachedUniqueName index="283" name="[mmmm].[ID].&amp;[284]"/>
            <x15:cachedUniqueName index="284" name="[mmmm].[ID].&amp;[285]"/>
            <x15:cachedUniqueName index="285" name="[mmmm].[ID].&amp;[286]"/>
            <x15:cachedUniqueName index="286" name="[mmmm].[ID].&amp;[287]"/>
            <x15:cachedUniqueName index="287" name="[mmmm].[ID].&amp;[288]"/>
            <x15:cachedUniqueName index="288" name="[mmmm].[ID].&amp;[289]"/>
            <x15:cachedUniqueName index="289" name="[mmmm].[ID].&amp;[290]"/>
            <x15:cachedUniqueName index="290" name="[mmmm].[ID].&amp;[291]"/>
            <x15:cachedUniqueName index="291" name="[mmmm].[ID].&amp;[292]"/>
            <x15:cachedUniqueName index="292" name="[mmmm].[ID].&amp;[293]"/>
            <x15:cachedUniqueName index="293" name="[mmmm].[ID].&amp;[294]"/>
            <x15:cachedUniqueName index="294" name="[mmmm].[ID].&amp;[295]"/>
            <x15:cachedUniqueName index="295" name="[mmmm].[ID].&amp;[296]"/>
            <x15:cachedUniqueName index="296" name="[mmmm].[ID].&amp;[297]"/>
            <x15:cachedUniqueName index="297" name="[mmmm].[ID].&amp;[298]"/>
            <x15:cachedUniqueName index="298" name="[mmmm].[ID].&amp;[299]"/>
            <x15:cachedUniqueName index="299" name="[mmmm].[ID].&amp;[300]"/>
            <x15:cachedUniqueName index="300" name="[mmmm].[ID].&amp;[301]"/>
            <x15:cachedUniqueName index="301" name="[mmmm].[ID].&amp;[302]"/>
            <x15:cachedUniqueName index="302" name="[mmmm].[ID].&amp;[303]"/>
            <x15:cachedUniqueName index="303" name="[mmmm].[ID].&amp;[304]"/>
            <x15:cachedUniqueName index="304" name="[mmmm].[ID].&amp;[305]"/>
            <x15:cachedUniqueName index="305" name="[mmmm].[ID].&amp;[306]"/>
            <x15:cachedUniqueName index="306" name="[mmmm].[ID].&amp;[307]"/>
            <x15:cachedUniqueName index="307" name="[mmmm].[ID].&amp;[308]"/>
            <x15:cachedUniqueName index="308" name="[mmmm].[ID].&amp;[309]"/>
            <x15:cachedUniqueName index="309" name="[mmmm].[ID].&amp;[310]"/>
            <x15:cachedUniqueName index="310" name="[mmmm].[ID].&amp;[311]"/>
            <x15:cachedUniqueName index="311" name="[mmmm].[ID].&amp;[312]"/>
            <x15:cachedUniqueName index="312" name="[mmmm].[ID].&amp;[313]"/>
            <x15:cachedUniqueName index="313" name="[mmmm].[ID].&amp;[314]"/>
            <x15:cachedUniqueName index="314" name="[mmmm].[ID].&amp;[315]"/>
            <x15:cachedUniqueName index="315" name="[mmmm].[ID].&amp;[316]"/>
            <x15:cachedUniqueName index="316" name="[mmmm].[ID].&amp;[317]"/>
            <x15:cachedUniqueName index="317" name="[mmmm].[ID].&amp;[318]"/>
            <x15:cachedUniqueName index="318" name="[mmmm].[ID].&amp;[319]"/>
            <x15:cachedUniqueName index="319" name="[mmmm].[ID].&amp;[320]"/>
            <x15:cachedUniqueName index="320" name="[mmmm].[ID].&amp;[321]"/>
            <x15:cachedUniqueName index="321" name="[mmmm].[ID].&amp;[322]"/>
            <x15:cachedUniqueName index="322" name="[mmmm].[ID].&amp;[323]"/>
            <x15:cachedUniqueName index="323" name="[mmmm].[ID].&amp;[324]"/>
            <x15:cachedUniqueName index="324" name="[mmmm].[ID].&amp;[325]"/>
            <x15:cachedUniqueName index="325" name="[mmmm].[ID].&amp;[326]"/>
            <x15:cachedUniqueName index="326" name="[mmmm].[ID].&amp;[327]"/>
            <x15:cachedUniqueName index="327" name="[mmmm].[ID].&amp;[328]"/>
            <x15:cachedUniqueName index="328" name="[mmmm].[ID].&amp;[329]"/>
            <x15:cachedUniqueName index="329" name="[mmmm].[ID].&amp;[330]"/>
            <x15:cachedUniqueName index="330" name="[mmmm].[ID].&amp;[331]"/>
            <x15:cachedUniqueName index="331" name="[mmmm].[ID].&amp;[332]"/>
            <x15:cachedUniqueName index="332" name="[mmmm].[ID].&amp;[333]"/>
            <x15:cachedUniqueName index="333" name="[mmmm].[ID].&amp;[334]"/>
            <x15:cachedUniqueName index="334" name="[mmmm].[ID].&amp;[335]"/>
            <x15:cachedUniqueName index="335" name="[mmmm].[ID].&amp;[336]"/>
            <x15:cachedUniqueName index="336" name="[mmmm].[ID].&amp;[337]"/>
            <x15:cachedUniqueName index="337" name="[mmmm].[ID].&amp;[338]"/>
            <x15:cachedUniqueName index="338" name="[mmmm].[ID].&amp;[339]"/>
            <x15:cachedUniqueName index="339" name="[mmmm].[ID].&amp;[340]"/>
            <x15:cachedUniqueName index="340" name="[mmmm].[ID].&amp;[341]"/>
            <x15:cachedUniqueName index="341" name="[mmmm].[ID].&amp;[342]"/>
            <x15:cachedUniqueName index="342" name="[mmmm].[ID].&amp;[343]"/>
            <x15:cachedUniqueName index="343" name="[mmmm].[ID].&amp;[344]"/>
            <x15:cachedUniqueName index="344" name="[mmmm].[ID].&amp;[345]"/>
            <x15:cachedUniqueName index="345" name="[mmmm].[ID].&amp;[346]"/>
            <x15:cachedUniqueName index="346" name="[mmmm].[ID].&amp;[347]"/>
            <x15:cachedUniqueName index="347" name="[mmmm].[ID].&amp;[348]"/>
            <x15:cachedUniqueName index="348" name="[mmmm].[ID].&amp;[349]"/>
            <x15:cachedUniqueName index="349" name="[mmmm].[ID].&amp;[350]"/>
            <x15:cachedUniqueName index="350" name="[mmmm].[ID].&amp;[351]"/>
            <x15:cachedUniqueName index="351" name="[mmmm].[ID].&amp;[352]"/>
            <x15:cachedUniqueName index="352" name="[mmmm].[ID].&amp;[353]"/>
            <x15:cachedUniqueName index="353" name="[mmmm].[ID].&amp;[354]"/>
            <x15:cachedUniqueName index="354" name="[mmmm].[ID].&amp;[355]"/>
            <x15:cachedUniqueName index="355" name="[mmmm].[ID].&amp;[356]"/>
            <x15:cachedUniqueName index="356" name="[mmmm].[ID].&amp;[357]"/>
            <x15:cachedUniqueName index="357" name="[mmmm].[ID].&amp;[358]"/>
            <x15:cachedUniqueName index="358" name="[mmmm].[ID].&amp;[359]"/>
            <x15:cachedUniqueName index="359" name="[mmmm].[ID].&amp;[360]"/>
            <x15:cachedUniqueName index="360" name="[mmmm].[ID].&amp;[361]"/>
            <x15:cachedUniqueName index="361" name="[mmmm].[ID].&amp;[362]"/>
            <x15:cachedUniqueName index="362" name="[mmmm].[ID].&amp;[363]"/>
            <x15:cachedUniqueName index="363" name="[mmmm].[ID].&amp;[364]"/>
            <x15:cachedUniqueName index="364" name="[mmmm].[ID].&amp;[365]"/>
            <x15:cachedUniqueName index="365" name="[mmmm].[ID].&amp;[366]"/>
            <x15:cachedUniqueName index="366" name="[mmmm].[ID].&amp;[367]"/>
            <x15:cachedUniqueName index="367" name="[mmmm].[ID].&amp;[368]"/>
            <x15:cachedUniqueName index="368" name="[mmmm].[ID].&amp;[369]"/>
            <x15:cachedUniqueName index="369" name="[mmmm].[ID].&amp;[370]"/>
            <x15:cachedUniqueName index="370" name="[mmmm].[ID].&amp;[371]"/>
            <x15:cachedUniqueName index="371" name="[mmmm].[ID].&amp;[372]"/>
            <x15:cachedUniqueName index="372" name="[mmmm].[ID].&amp;[373]"/>
            <x15:cachedUniqueName index="373" name="[mmmm].[ID].&amp;[374]"/>
            <x15:cachedUniqueName index="374" name="[mmmm].[ID].&amp;[375]"/>
            <x15:cachedUniqueName index="375" name="[mmmm].[ID].&amp;[376]"/>
            <x15:cachedUniqueName index="376" name="[mmmm].[ID].&amp;[377]"/>
            <x15:cachedUniqueName index="377" name="[mmmm].[ID].&amp;[378]"/>
            <x15:cachedUniqueName index="378" name="[mmmm].[ID].&amp;[379]"/>
            <x15:cachedUniqueName index="379" name="[mmmm].[ID].&amp;[380]"/>
            <x15:cachedUniqueName index="380" name="[mmmm].[ID].&amp;[381]"/>
            <x15:cachedUniqueName index="381" name="[mmmm].[ID].&amp;[382]"/>
            <x15:cachedUniqueName index="382" name="[mmmm].[ID].&amp;[383]"/>
            <x15:cachedUniqueName index="383" name="[mmmm].[ID].&amp;[384]"/>
            <x15:cachedUniqueName index="384" name="[mmmm].[ID].&amp;[385]"/>
            <x15:cachedUniqueName index="385" name="[mmmm].[ID].&amp;[386]"/>
            <x15:cachedUniqueName index="386" name="[mmmm].[ID].&amp;[387]"/>
            <x15:cachedUniqueName index="387" name="[mmmm].[ID].&amp;[388]"/>
            <x15:cachedUniqueName index="388" name="[mmmm].[ID].&amp;[389]"/>
            <x15:cachedUniqueName index="389" name="[mmmm].[ID].&amp;[390]"/>
            <x15:cachedUniqueName index="390" name="[mmmm].[ID].&amp;[391]"/>
            <x15:cachedUniqueName index="391" name="[mmmm].[ID].&amp;[392]"/>
            <x15:cachedUniqueName index="392" name="[mmmm].[ID].&amp;[393]"/>
            <x15:cachedUniqueName index="393" name="[mmmm].[ID].&amp;[394]"/>
            <x15:cachedUniqueName index="394" name="[mmmm].[ID].&amp;[395]"/>
            <x15:cachedUniqueName index="395" name="[mmmm].[ID].&amp;[396]"/>
            <x15:cachedUniqueName index="396" name="[mmmm].[ID].&amp;[397]"/>
            <x15:cachedUniqueName index="397" name="[mmmm].[ID].&amp;[398]"/>
            <x15:cachedUniqueName index="398" name="[mmmm].[ID].&amp;[399]"/>
            <x15:cachedUniqueName index="399" name="[mmmm].[ID].&amp;[400]"/>
            <x15:cachedUniqueName index="400" name="[mmmm].[ID].&amp;[401]"/>
            <x15:cachedUniqueName index="401" name="[mmmm].[ID].&amp;[402]"/>
            <x15:cachedUniqueName index="402" name="[mmmm].[ID].&amp;[403]"/>
            <x15:cachedUniqueName index="403" name="[mmmm].[ID].&amp;[404]"/>
            <x15:cachedUniqueName index="404" name="[mmmm].[ID].&amp;[405]"/>
            <x15:cachedUniqueName index="405" name="[mmmm].[ID].&amp;[406]"/>
            <x15:cachedUniqueName index="406" name="[mmmm].[ID].&amp;[407]"/>
            <x15:cachedUniqueName index="407" name="[mmmm].[ID].&amp;[408]"/>
            <x15:cachedUniqueName index="408" name="[mmmm].[ID].&amp;[409]"/>
            <x15:cachedUniqueName index="409" name="[mmmm].[ID].&amp;[410]"/>
            <x15:cachedUniqueName index="410" name="[mmmm].[ID].&amp;[411]"/>
            <x15:cachedUniqueName index="411" name="[mmmm].[ID].&amp;[412]"/>
            <x15:cachedUniqueName index="412" name="[mmmm].[ID].&amp;[413]"/>
            <x15:cachedUniqueName index="413" name="[mmmm].[ID].&amp;[414]"/>
            <x15:cachedUniqueName index="414" name="[mmmm].[ID].&amp;[415]"/>
            <x15:cachedUniqueName index="415" name="[mmmm].[ID].&amp;[416]"/>
            <x15:cachedUniqueName index="416" name="[mmmm].[ID].&amp;[417]"/>
            <x15:cachedUniqueName index="417" name="[mmmm].[ID].&amp;[418]"/>
            <x15:cachedUniqueName index="418" name="[mmmm].[ID].&amp;[419]"/>
            <x15:cachedUniqueName index="419" name="[mmmm].[ID].&amp;[420]"/>
            <x15:cachedUniqueName index="420" name="[mmmm].[ID].&amp;[421]"/>
            <x15:cachedUniqueName index="421" name="[mmmm].[ID].&amp;[422]"/>
            <x15:cachedUniqueName index="422" name="[mmmm].[ID].&amp;[423]"/>
            <x15:cachedUniqueName index="423" name="[mmmm].[ID].&amp;[424]"/>
            <x15:cachedUniqueName index="424" name="[mmmm].[ID].&amp;[425]"/>
            <x15:cachedUniqueName index="425" name="[mmmm].[ID].&amp;[426]"/>
            <x15:cachedUniqueName index="426" name="[mmmm].[ID].&amp;[427]"/>
            <x15:cachedUniqueName index="427" name="[mmmm].[ID].&amp;[428]"/>
            <x15:cachedUniqueName index="428" name="[mmmm].[ID].&amp;[429]"/>
            <x15:cachedUniqueName index="429" name="[mmmm].[ID].&amp;[430]"/>
            <x15:cachedUniqueName index="430" name="[mmmm].[ID].&amp;[431]"/>
            <x15:cachedUniqueName index="431" name="[mmmm].[ID].&amp;[432]"/>
            <x15:cachedUniqueName index="432" name="[mmmm].[ID].&amp;[433]"/>
            <x15:cachedUniqueName index="433" name="[mmmm].[ID].&amp;[434]"/>
            <x15:cachedUniqueName index="434" name="[mmmm].[ID].&amp;[435]"/>
            <x15:cachedUniqueName index="435" name="[mmmm].[ID].&amp;[436]"/>
            <x15:cachedUniqueName index="436" name="[mmmm].[ID].&amp;[437]"/>
            <x15:cachedUniqueName index="437" name="[mmmm].[ID].&amp;[438]"/>
            <x15:cachedUniqueName index="438" name="[mmmm].[ID].&amp;[439]"/>
            <x15:cachedUniqueName index="439" name="[mmmm].[ID].&amp;[440]"/>
            <x15:cachedUniqueName index="440" name="[mmmm].[ID].&amp;[441]"/>
            <x15:cachedUniqueName index="441" name="[mmmm].[ID].&amp;[442]"/>
            <x15:cachedUniqueName index="442" name="[mmmm].[ID].&amp;[443]"/>
            <x15:cachedUniqueName index="443" name="[mmmm].[ID].&amp;[444]"/>
            <x15:cachedUniqueName index="444" name="[mmmm].[ID].&amp;[445]"/>
            <x15:cachedUniqueName index="445" name="[mmmm].[ID].&amp;[446]"/>
            <x15:cachedUniqueName index="446" name="[mmmm].[ID].&amp;[447]"/>
            <x15:cachedUniqueName index="447" name="[mmmm].[ID].&amp;[448]"/>
            <x15:cachedUniqueName index="448" name="[mmmm].[ID].&amp;[449]"/>
            <x15:cachedUniqueName index="449" name="[mmmm].[ID].&amp;[450]"/>
            <x15:cachedUniqueName index="450" name="[mmmm].[ID].&amp;[451]"/>
            <x15:cachedUniqueName index="451" name="[mmmm].[ID].&amp;[452]"/>
            <x15:cachedUniqueName index="452" name="[mmmm].[ID].&amp;[453]"/>
            <x15:cachedUniqueName index="453" name="[mmmm].[ID].&amp;[454]"/>
            <x15:cachedUniqueName index="454" name="[mmmm].[ID].&amp;[455]"/>
            <x15:cachedUniqueName index="455" name="[mmmm].[ID].&amp;[456]"/>
            <x15:cachedUniqueName index="456" name="[mmmm].[ID].&amp;[457]"/>
            <x15:cachedUniqueName index="457" name="[mmmm].[ID].&amp;[458]"/>
            <x15:cachedUniqueName index="458" name="[mmmm].[ID].&amp;[459]"/>
            <x15:cachedUniqueName index="459" name="[mmmm].[ID].&amp;[460]"/>
            <x15:cachedUniqueName index="460" name="[mmmm].[ID].&amp;[461]"/>
            <x15:cachedUniqueName index="461" name="[mmmm].[ID].&amp;[462]"/>
            <x15:cachedUniqueName index="462" name="[mmmm].[ID].&amp;[463]"/>
            <x15:cachedUniqueName index="463" name="[mmmm].[ID].&amp;[464]"/>
            <x15:cachedUniqueName index="464" name="[mmmm].[ID].&amp;[465]"/>
            <x15:cachedUniqueName index="465" name="[mmmm].[ID].&amp;[466]"/>
            <x15:cachedUniqueName index="466" name="[mmmm].[ID].&amp;[467]"/>
            <x15:cachedUniqueName index="467" name="[mmmm].[ID].&amp;[468]"/>
            <x15:cachedUniqueName index="468" name="[mmmm].[ID].&amp;[469]"/>
            <x15:cachedUniqueName index="469" name="[mmmm].[ID].&amp;[470]"/>
            <x15:cachedUniqueName index="470" name="[mmmm].[ID].&amp;[471]"/>
            <x15:cachedUniqueName index="471" name="[mmmm].[ID].&amp;[472]"/>
            <x15:cachedUniqueName index="472" name="[mmmm].[ID].&amp;[473]"/>
            <x15:cachedUniqueName index="473" name="[mmmm].[ID].&amp;[474]"/>
            <x15:cachedUniqueName index="474" name="[mmmm].[ID].&amp;[475]"/>
            <x15:cachedUniqueName index="475" name="[mmmm].[ID].&amp;[476]"/>
            <x15:cachedUniqueName index="476" name="[mmmm].[ID].&amp;[477]"/>
            <x15:cachedUniqueName index="477" name="[mmmm].[ID].&amp;[478]"/>
            <x15:cachedUniqueName index="478" name="[mmmm].[ID].&amp;[479]"/>
            <x15:cachedUniqueName index="479" name="[mmmm].[ID].&amp;[480]"/>
            <x15:cachedUniqueName index="480" name="[mmmm].[ID].&amp;[481]"/>
            <x15:cachedUniqueName index="481" name="[mmmm].[ID].&amp;[482]"/>
            <x15:cachedUniqueName index="482" name="[mmmm].[ID].&amp;[483]"/>
            <x15:cachedUniqueName index="483" name="[mmmm].[ID].&amp;[484]"/>
            <x15:cachedUniqueName index="484" name="[mmmm].[ID].&amp;[485]"/>
            <x15:cachedUniqueName index="485" name="[mmmm].[ID].&amp;[486]"/>
            <x15:cachedUniqueName index="486" name="[mmmm].[ID].&amp;[487]"/>
            <x15:cachedUniqueName index="487" name="[mmmm].[ID].&amp;[488]"/>
            <x15:cachedUniqueName index="488" name="[mmmm].[ID].&amp;[489]"/>
            <x15:cachedUniqueName index="489" name="[mmmm].[ID].&amp;[490]"/>
            <x15:cachedUniqueName index="490" name="[mmmm].[ID].&amp;[491]"/>
            <x15:cachedUniqueName index="491" name="[mmmm].[ID].&amp;[492]"/>
            <x15:cachedUniqueName index="492" name="[mmmm].[ID].&amp;[493]"/>
            <x15:cachedUniqueName index="493" name="[mmmm].[ID].&amp;[494]"/>
            <x15:cachedUniqueName index="494" name="[mmmm].[ID].&amp;[495]"/>
            <x15:cachedUniqueName index="495" name="[mmmm].[ID].&amp;[496]"/>
            <x15:cachedUniqueName index="496" name="[mmmm].[ID].&amp;[497]"/>
            <x15:cachedUniqueName index="497" name="[mmmm].[ID].&amp;[498]"/>
            <x15:cachedUniqueName index="498" name="[mmmm].[ID].&amp;[499]"/>
            <x15:cachedUniqueName index="499" name="[mmmm].[ID].&amp;[500]"/>
            <x15:cachedUniqueName index="500" name="[mmmm].[ID].&amp;[501]"/>
            <x15:cachedUniqueName index="501" name="[mmmm].[ID].&amp;[502]"/>
            <x15:cachedUniqueName index="502" name="[mmmm].[ID].&amp;[503]"/>
            <x15:cachedUniqueName index="503" name="[mmmm].[ID].&amp;[504]"/>
            <x15:cachedUniqueName index="504" name="[mmmm].[ID].&amp;[505]"/>
            <x15:cachedUniqueName index="505" name="[mmmm].[ID].&amp;[506]"/>
            <x15:cachedUniqueName index="506" name="[mmmm].[ID].&amp;[507]"/>
            <x15:cachedUniqueName index="507" name="[mmmm].[ID].&amp;[508]"/>
            <x15:cachedUniqueName index="508" name="[mmmm].[ID].&amp;[509]"/>
            <x15:cachedUniqueName index="509" name="[mmmm].[ID].&amp;[510]"/>
            <x15:cachedUniqueName index="510" name="[mmmm].[ID].&amp;[511]"/>
            <x15:cachedUniqueName index="511" name="[mmmm].[ID].&amp;[512]"/>
            <x15:cachedUniqueName index="512" name="[mmmm].[ID].&amp;[513]"/>
            <x15:cachedUniqueName index="513" name="[mmmm].[ID].&amp;[514]"/>
            <x15:cachedUniqueName index="514" name="[mmmm].[ID].&amp;[515]"/>
            <x15:cachedUniqueName index="515" name="[mmmm].[ID].&amp;[516]"/>
            <x15:cachedUniqueName index="516" name="[mmmm].[ID].&amp;[517]"/>
            <x15:cachedUniqueName index="517" name="[mmmm].[ID].&amp;[518]"/>
            <x15:cachedUniqueName index="518" name="[mmmm].[ID].&amp;[519]"/>
            <x15:cachedUniqueName index="519" name="[mmmm].[ID].&amp;[520]"/>
            <x15:cachedUniqueName index="520" name="[mmmm].[ID].&amp;[521]"/>
            <x15:cachedUniqueName index="521" name="[mmmm].[ID].&amp;[522]"/>
            <x15:cachedUniqueName index="522" name="[mmmm].[ID].&amp;[523]"/>
            <x15:cachedUniqueName index="523" name="[mmmm].[ID].&amp;[524]"/>
            <x15:cachedUniqueName index="524" name="[mmmm].[ID].&amp;[525]"/>
            <x15:cachedUniqueName index="525" name="[mmmm].[ID].&amp;[526]"/>
            <x15:cachedUniqueName index="526" name="[mmmm].[ID].&amp;[527]"/>
            <x15:cachedUniqueName index="527" name="[mmmm].[ID].&amp;[528]"/>
            <x15:cachedUniqueName index="528" name="[mmmm].[ID].&amp;[529]"/>
            <x15:cachedUniqueName index="529" name="[mmmm].[ID].&amp;[530]"/>
            <x15:cachedUniqueName index="530" name="[mmmm].[ID].&amp;[531]"/>
            <x15:cachedUniqueName index="531" name="[mmmm].[ID].&amp;[532]"/>
            <x15:cachedUniqueName index="532" name="[mmmm].[ID].&amp;[533]"/>
            <x15:cachedUniqueName index="533" name="[mmmm].[ID].&amp;[534]"/>
            <x15:cachedUniqueName index="534" name="[mmmm].[ID].&amp;[535]"/>
            <x15:cachedUniqueName index="535" name="[mmmm].[ID].&amp;[536]"/>
            <x15:cachedUniqueName index="536" name="[mmmm].[ID].&amp;[537]"/>
            <x15:cachedUniqueName index="537" name="[mmmm].[ID].&amp;[538]"/>
            <x15:cachedUniqueName index="538" name="[mmmm].[ID].&amp;[539]"/>
            <x15:cachedUniqueName index="539" name="[mmmm].[ID].&amp;[540]"/>
            <x15:cachedUniqueName index="540" name="[mmmm].[ID].&amp;[541]"/>
            <x15:cachedUniqueName index="541" name="[mmmm].[ID].&amp;[542]"/>
            <x15:cachedUniqueName index="542" name="[mmmm].[ID].&amp;[543]"/>
            <x15:cachedUniqueName index="543" name="[mmmm].[ID].&amp;[544]"/>
            <x15:cachedUniqueName index="544" name="[mmmm].[ID].&amp;[545]"/>
            <x15:cachedUniqueName index="545" name="[mmmm].[ID].&amp;[546]"/>
            <x15:cachedUniqueName index="546" name="[mmmm].[ID].&amp;[547]"/>
            <x15:cachedUniqueName index="547" name="[mmmm].[ID].&amp;[548]"/>
            <x15:cachedUniqueName index="548" name="[mmmm].[ID].&amp;[549]"/>
            <x15:cachedUniqueName index="549" name="[mmmm].[ID].&amp;[550]"/>
            <x15:cachedUniqueName index="550" name="[mmmm].[ID].&amp;[551]"/>
            <x15:cachedUniqueName index="551" name="[mmmm].[ID].&amp;[552]"/>
            <x15:cachedUniqueName index="552" name="[mmmm].[ID].&amp;[553]"/>
            <x15:cachedUniqueName index="553" name="[mmmm].[ID].&amp;[554]"/>
            <x15:cachedUniqueName index="554" name="[mmmm].[ID].&amp;[555]"/>
            <x15:cachedUniqueName index="555" name="[mmmm].[ID].&amp;[556]"/>
            <x15:cachedUniqueName index="556" name="[mmmm].[ID].&amp;[557]"/>
            <x15:cachedUniqueName index="557" name="[mmmm].[ID].&amp;[558]"/>
            <x15:cachedUniqueName index="558" name="[mmmm].[ID].&amp;[559]"/>
            <x15:cachedUniqueName index="559" name="[mmmm].[ID].&amp;[560]"/>
            <x15:cachedUniqueName index="560" name="[mmmm].[ID].&amp;[561]"/>
            <x15:cachedUniqueName index="561" name="[mmmm].[ID].&amp;[562]"/>
            <x15:cachedUniqueName index="562" name="[mmmm].[ID].&amp;[563]"/>
            <x15:cachedUniqueName index="563" name="[mmmm].[ID].&amp;[564]"/>
            <x15:cachedUniqueName index="564" name="[mmmm].[ID].&amp;[565]"/>
            <x15:cachedUniqueName index="565" name="[mmmm].[ID].&amp;[566]"/>
            <x15:cachedUniqueName index="566" name="[mmmm].[ID].&amp;[567]"/>
            <x15:cachedUniqueName index="567" name="[mmmm].[ID].&amp;[568]"/>
            <x15:cachedUniqueName index="568" name="[mmmm].[ID].&amp;[569]"/>
            <x15:cachedUniqueName index="569" name="[mmmm].[ID].&amp;[570]"/>
            <x15:cachedUniqueName index="570" name="[mmmm].[ID].&amp;[571]"/>
            <x15:cachedUniqueName index="571" name="[mmmm].[ID].&amp;[572]"/>
            <x15:cachedUniqueName index="572" name="[mmmm].[ID].&amp;[573]"/>
            <x15:cachedUniqueName index="573" name="[mmmm].[ID].&amp;[574]"/>
            <x15:cachedUniqueName index="574" name="[mmmm].[ID].&amp;[575]"/>
            <x15:cachedUniqueName index="575" name="[mmmm].[ID].&amp;[576]"/>
            <x15:cachedUniqueName index="576" name="[mmmm].[ID].&amp;[577]"/>
            <x15:cachedUniqueName index="577" name="[mmmm].[ID].&amp;[578]"/>
            <x15:cachedUniqueName index="578" name="[mmmm].[ID].&amp;[579]"/>
            <x15:cachedUniqueName index="579" name="[mmmm].[ID].&amp;[580]"/>
            <x15:cachedUniqueName index="580" name="[mmmm].[ID].&amp;[581]"/>
            <x15:cachedUniqueName index="581" name="[mmmm].[ID].&amp;[582]"/>
            <x15:cachedUniqueName index="582" name="[mmmm].[ID].&amp;[583]"/>
            <x15:cachedUniqueName index="583" name="[mmmm].[ID].&amp;[584]"/>
            <x15:cachedUniqueName index="584" name="[mmmm].[ID].&amp;[585]"/>
            <x15:cachedUniqueName index="585" name="[mmmm].[ID].&amp;[586]"/>
            <x15:cachedUniqueName index="586" name="[mmmm].[ID].&amp;[587]"/>
            <x15:cachedUniqueName index="587" name="[mmmm].[ID].&amp;[588]"/>
            <x15:cachedUniqueName index="588" name="[mmmm].[ID].&amp;[589]"/>
            <x15:cachedUniqueName index="589" name="[mmmm].[ID].&amp;[590]"/>
            <x15:cachedUniqueName index="590" name="[mmmm].[ID].&amp;[591]"/>
            <x15:cachedUniqueName index="591" name="[mmmm].[ID].&amp;[592]"/>
            <x15:cachedUniqueName index="592" name="[mmmm].[ID].&amp;[593]"/>
            <x15:cachedUniqueName index="593" name="[mmmm].[ID].&amp;[594]"/>
            <x15:cachedUniqueName index="594" name="[mmmm].[ID].&amp;[595]"/>
            <x15:cachedUniqueName index="595" name="[mmmm].[ID].&amp;[596]"/>
            <x15:cachedUniqueName index="596" name="[mmmm].[ID].&amp;[597]"/>
            <x15:cachedUniqueName index="597" name="[mmmm].[ID].&amp;[598]"/>
            <x15:cachedUniqueName index="598" name="[mmmm].[ID].&amp;[599]"/>
            <x15:cachedUniqueName index="599" name="[mmmm].[ID].&amp;[600]"/>
            <x15:cachedUniqueName index="600" name="[mmmm].[ID].&amp;[601]"/>
            <x15:cachedUniqueName index="601" name="[mmmm].[ID].&amp;[602]"/>
            <x15:cachedUniqueName index="602" name="[mmmm].[ID].&amp;[603]"/>
            <x15:cachedUniqueName index="603" name="[mmmm].[ID].&amp;[604]"/>
            <x15:cachedUniqueName index="604" name="[mmmm].[ID].&amp;[605]"/>
            <x15:cachedUniqueName index="605" name="[mmmm].[ID].&amp;[606]"/>
            <x15:cachedUniqueName index="606" name="[mmmm].[ID].&amp;[607]"/>
            <x15:cachedUniqueName index="607" name="[mmmm].[ID].&amp;[608]"/>
            <x15:cachedUniqueName index="608" name="[mmmm].[ID].&amp;[609]"/>
            <x15:cachedUniqueName index="609" name="[mmmm].[ID].&amp;[610]"/>
            <x15:cachedUniqueName index="610" name="[mmmm].[ID].&amp;[611]"/>
            <x15:cachedUniqueName index="611" name="[mmmm].[ID].&amp;[612]"/>
            <x15:cachedUniqueName index="612" name="[mmmm].[ID].&amp;[613]"/>
            <x15:cachedUniqueName index="613" name="[mmmm].[ID].&amp;[614]"/>
            <x15:cachedUniqueName index="614" name="[mmmm].[ID].&amp;[615]"/>
            <x15:cachedUniqueName index="615" name="[mmmm].[ID].&amp;[616]"/>
            <x15:cachedUniqueName index="616" name="[mmmm].[ID].&amp;[617]"/>
            <x15:cachedUniqueName index="617" name="[mmmm].[ID].&amp;[618]"/>
            <x15:cachedUniqueName index="618" name="[mmmm].[ID].&amp;[619]"/>
            <x15:cachedUniqueName index="619" name="[mmmm].[ID].&amp;[620]"/>
            <x15:cachedUniqueName index="620" name="[mmmm].[ID].&amp;[621]"/>
            <x15:cachedUniqueName index="621" name="[mmmm].[ID].&amp;[622]"/>
            <x15:cachedUniqueName index="622" name="[mmmm].[ID].&amp;[623]"/>
            <x15:cachedUniqueName index="623" name="[mmmm].[ID].&amp;[624]"/>
            <x15:cachedUniqueName index="624" name="[mmmm].[ID].&amp;[625]"/>
            <x15:cachedUniqueName index="625" name="[mmmm].[ID].&amp;[626]"/>
            <x15:cachedUniqueName index="626" name="[mmmm].[ID].&amp;[627]"/>
            <x15:cachedUniqueName index="627" name="[mmmm].[ID].&amp;[628]"/>
            <x15:cachedUniqueName index="628" name="[mmmm].[ID].&amp;[629]"/>
            <x15:cachedUniqueName index="629" name="[mmmm].[ID].&amp;[630]"/>
            <x15:cachedUniqueName index="630" name="[mmmm].[ID].&amp;[631]"/>
            <x15:cachedUniqueName index="631" name="[mmmm].[ID].&amp;[632]"/>
            <x15:cachedUniqueName index="632" name="[mmmm].[ID].&amp;[633]"/>
            <x15:cachedUniqueName index="633" name="[mmmm].[ID].&amp;[634]"/>
            <x15:cachedUniqueName index="634" name="[mmmm].[ID].&amp;[635]"/>
            <x15:cachedUniqueName index="635" name="[mmmm].[ID].&amp;[636]"/>
            <x15:cachedUniqueName index="636" name="[mmmm].[ID].&amp;[637]"/>
            <x15:cachedUniqueName index="637" name="[mmmm].[ID].&amp;[638]"/>
            <x15:cachedUniqueName index="638" name="[mmmm].[ID].&amp;[639]"/>
            <x15:cachedUniqueName index="639" name="[mmmm].[ID].&amp;[640]"/>
            <x15:cachedUniqueName index="640" name="[mmmm].[ID].&amp;[641]"/>
            <x15:cachedUniqueName index="641" name="[mmmm].[ID].&amp;[642]"/>
            <x15:cachedUniqueName index="642" name="[mmmm].[ID].&amp;[643]"/>
            <x15:cachedUniqueName index="643" name="[mmmm].[ID].&amp;[644]"/>
            <x15:cachedUniqueName index="644" name="[mmmm].[ID].&amp;[645]"/>
            <x15:cachedUniqueName index="645" name="[mmmm].[ID].&amp;[646]"/>
            <x15:cachedUniqueName index="646" name="[mmmm].[ID].&amp;[647]"/>
            <x15:cachedUniqueName index="647" name="[mmmm].[ID].&amp;[648]"/>
            <x15:cachedUniqueName index="648" name="[mmmm].[ID].&amp;[649]"/>
            <x15:cachedUniqueName index="649" name="[mmmm].[ID].&amp;[650]"/>
            <x15:cachedUniqueName index="650" name="[mmmm].[ID].&amp;[651]"/>
            <x15:cachedUniqueName index="651" name="[mmmm].[ID].&amp;[652]"/>
            <x15:cachedUniqueName index="652" name="[mmmm].[ID].&amp;[653]"/>
            <x15:cachedUniqueName index="653" name="[mmmm].[ID].&amp;[654]"/>
            <x15:cachedUniqueName index="654" name="[mmmm].[ID].&amp;[655]"/>
            <x15:cachedUniqueName index="655" name="[mmmm].[ID].&amp;[656]"/>
            <x15:cachedUniqueName index="656" name="[mmmm].[ID].&amp;[657]"/>
            <x15:cachedUniqueName index="657" name="[mmmm].[ID].&amp;[658]"/>
            <x15:cachedUniqueName index="658" name="[mmmm].[ID].&amp;[659]"/>
            <x15:cachedUniqueName index="659" name="[mmmm].[ID].&amp;[660]"/>
            <x15:cachedUniqueName index="660" name="[mmmm].[ID].&amp;[661]"/>
            <x15:cachedUniqueName index="661" name="[mmmm].[ID].&amp;[662]"/>
            <x15:cachedUniqueName index="662" name="[mmmm].[ID].&amp;[663]"/>
            <x15:cachedUniqueName index="663" name="[mmmm].[ID].&amp;[664]"/>
            <x15:cachedUniqueName index="664" name="[mmmm].[ID].&amp;[665]"/>
            <x15:cachedUniqueName index="665" name="[mmmm].[ID].&amp;[666]"/>
            <x15:cachedUniqueName index="666" name="[mmmm].[ID].&amp;[667]"/>
            <x15:cachedUniqueName index="667" name="[mmmm].[ID].&amp;[668]"/>
            <x15:cachedUniqueName index="668" name="[mmmm].[ID].&amp;[669]"/>
            <x15:cachedUniqueName index="669" name="[mmmm].[ID].&amp;[670]"/>
            <x15:cachedUniqueName index="670" name="[mmmm].[ID].&amp;[671]"/>
            <x15:cachedUniqueName index="671" name="[mmmm].[ID].&amp;[672]"/>
            <x15:cachedUniqueName index="672" name="[mmmm].[ID].&amp;[673]"/>
            <x15:cachedUniqueName index="673" name="[mmmm].[ID].&amp;[674]"/>
            <x15:cachedUniqueName index="674" name="[mmmm].[ID].&amp;[675]"/>
            <x15:cachedUniqueName index="675" name="[mmmm].[ID].&amp;[676]"/>
            <x15:cachedUniqueName index="676" name="[mmmm].[ID].&amp;[677]"/>
            <x15:cachedUniqueName index="677" name="[mmmm].[ID].&amp;[678]"/>
            <x15:cachedUniqueName index="678" name="[mmmm].[ID].&amp;[679]"/>
            <x15:cachedUniqueName index="679" name="[mmmm].[ID].&amp;[680]"/>
            <x15:cachedUniqueName index="680" name="[mmmm].[ID].&amp;[681]"/>
            <x15:cachedUniqueName index="681" name="[mmmm].[ID].&amp;[682]"/>
            <x15:cachedUniqueName index="682" name="[mmmm].[ID].&amp;[683]"/>
            <x15:cachedUniqueName index="683" name="[mmmm].[ID].&amp;[684]"/>
            <x15:cachedUniqueName index="684" name="[mmmm].[ID].&amp;[685]"/>
            <x15:cachedUniqueName index="685" name="[mmmm].[ID].&amp;[686]"/>
            <x15:cachedUniqueName index="686" name="[mmmm].[ID].&amp;[687]"/>
            <x15:cachedUniqueName index="687" name="[mmmm].[ID].&amp;[688]"/>
            <x15:cachedUniqueName index="688" name="[mmmm].[ID].&amp;[689]"/>
          </x15:cachedUniqueNames>
        </ext>
      </extLst>
    </cacheField>
    <cacheField name="[Measures].[Sum of Overtime Hours]" caption="Sum of Overtime Hours" numFmtId="0" hierarchy="29" level="32767"/>
    <cacheField name="[mmmm].[Department].[Department]" caption="Department" numFmtId="0" hierarchy="7" level="1">
      <sharedItems containsSemiMixedTypes="0" containsNonDate="0" containsString="0"/>
    </cacheField>
  </cacheFields>
  <cacheHierarchies count="39">
    <cacheHierarchy uniqueName="[mmmm].[ID]" caption="ID" attribute="1" defaultMemberUniqueName="[mmmm].[ID].[All]" allUniqueName="[mmmm].[ID].[All]" dimensionUniqueName="[mmmm]" displayFolder="" count="2" memberValueDatatype="20" unbalanced="0">
      <fieldsUsage count="2">
        <fieldUsage x="-1"/>
        <fieldUsage x="0"/>
      </fieldsUsage>
    </cacheHierarchy>
    <cacheHierarchy uniqueName="[mmmm].[First Name]" caption="First Name" attribute="1" defaultMemberUniqueName="[mmmm].[First Name].[All]" allUniqueName="[mmmm].[First Name].[All]" dimensionUniqueName="[mmmm]" displayFolder="" count="0" memberValueDatatype="130" unbalanced="0"/>
    <cacheHierarchy uniqueName="[mmmm].[Last Name]" caption="Last Name" attribute="1" defaultMemberUniqueName="[mmmm].[Last Name].[All]" allUniqueName="[mmmm].[Last Name].[All]" dimensionUniqueName="[mmmm]" displayFolder="" count="0" memberValueDatatype="130" unbalanced="0"/>
    <cacheHierarchy uniqueName="[mmmm].[Empolyee name]" caption="Empolyee name" attribute="1" defaultMemberUniqueName="[mmmm].[Empolyee name].[All]" allUniqueName="[mmmm].[Empolyee name].[All]" dimensionUniqueName="[mmmm]" displayFolder="" count="0" memberValueDatatype="130" unbalanced="0"/>
    <cacheHierarchy uniqueName="[mmmm].[Gender]" caption="Gender" attribute="1" defaultMemberUniqueName="[mmmm].[Gender].[All]" allUniqueName="[mmmm].[Gender].[All]" dimensionUniqueName="[mmmm]" displayFolder="" count="0" memberValueDatatype="130" unbalanced="0"/>
    <cacheHierarchy uniqueName="[mmmm].[Start Date]" caption="Start Date" attribute="1" time="1" defaultMemberUniqueName="[mmmm].[Start Date].[All]" allUniqueName="[mmmm].[Start Date].[All]" dimensionUniqueName="[mmmm]" displayFolder="" count="0" memberValueDatatype="7" unbalanced="0"/>
    <cacheHierarchy uniqueName="[mmmm].[Years]" caption="Years" attribute="1" defaultMemberUniqueName="[mmmm].[Years].[All]" allUniqueName="[mmmm].[Years].[All]" dimensionUniqueName="[mmmm]" displayFolder="" count="0" memberValueDatatype="20" unbalanced="0"/>
    <cacheHierarchy uniqueName="[mmmm].[Department]" caption="Department" attribute="1" defaultMemberUniqueName="[mmmm].[Department].[All]" allUniqueName="[mmmm].[Department].[All]" dimensionUniqueName="[mmmm]" displayFolder="" count="2" memberValueDatatype="130" unbalanced="0">
      <fieldsUsage count="2">
        <fieldUsage x="-1"/>
        <fieldUsage x="2"/>
      </fieldsUsage>
    </cacheHierarchy>
    <cacheHierarchy uniqueName="[mmmm].[Country]" caption="Country" attribute="1" defaultMemberUniqueName="[mmmm].[Country].[All]" allUniqueName="[mmmm].[Country].[All]" dimensionUniqueName="[mmmm]" displayFolder="" count="2" memberValueDatatype="130" unbalanced="0"/>
    <cacheHierarchy uniqueName="[mmmm].[Center]" caption="Center" attribute="1" defaultMemberUniqueName="[mmmm].[Center].[All]" allUniqueName="[mmmm].[Center].[All]" dimensionUniqueName="[mmmm]" displayFolder="" count="0" memberValueDatatype="130" unbalanced="0"/>
    <cacheHierarchy uniqueName="[mmmm].[Monthly Salary]" caption="Monthly Salary" attribute="1" defaultMemberUniqueName="[mmmm].[Monthly Salary].[All]" allUniqueName="[mmmm].[Monthly Salary].[All]" dimensionUniqueName="[mmmm]" displayFolder="" count="0" memberValueDatatype="20" unbalanced="0"/>
    <cacheHierarchy uniqueName="[mmmm].[Annual Salary]" caption="Annual Salary" attribute="1" defaultMemberUniqueName="[mmmm].[Annual Salary].[All]" allUniqueName="[mmmm].[Annual Salary].[All]" dimensionUniqueName="[mmmm]" displayFolder="" count="0" memberValueDatatype="20" unbalanced="0"/>
    <cacheHierarchy uniqueName="[mmmm].[Job Rate]" caption="Job Rate" attribute="1" defaultMemberUniqueName="[mmmm].[Job Rate].[All]" allUniqueName="[mmmm].[Job Rate].[All]" dimensionUniqueName="[mmmm]" displayFolder="" count="0" memberValueDatatype="5" unbalanced="0"/>
    <cacheHierarchy uniqueName="[mmmm].[Sick Leaves]" caption="Sick Leaves" attribute="1" defaultMemberUniqueName="[mmmm].[Sick Leaves].[All]" allUniqueName="[mmmm].[Sick Leaves].[All]" dimensionUniqueName="[mmmm]" displayFolder="" count="0" memberValueDatatype="20" unbalanced="0"/>
    <cacheHierarchy uniqueName="[mmmm].[Unpaid Leaves]" caption="Unpaid Leaves" attribute="1" defaultMemberUniqueName="[mmmm].[Unpaid Leaves].[All]" allUniqueName="[mmmm].[Unpaid Leaves].[All]" dimensionUniqueName="[mmmm]" displayFolder="" count="0" memberValueDatatype="20" unbalanced="0"/>
    <cacheHierarchy uniqueName="[mmmm].[Overtime Hours]" caption="Overtime Hours" attribute="1" defaultMemberUniqueName="[mmmm].[Overtime Hours].[All]" allUniqueName="[mmmm].[Overtime Hours].[All]" dimensionUniqueName="[mmmm]" displayFolder="" count="0" memberValueDatatype="20" unbalanced="0"/>
    <cacheHierarchy uniqueName="[mmmm].[Start Date (Year)]" caption="Start Date (Year)" attribute="1" defaultMemberUniqueName="[mmmm].[Start Date (Year)].[All]" allUniqueName="[mmmm].[Start Date (Year)].[All]" dimensionUniqueName="[mmmm]" displayFolder="" count="0" memberValueDatatype="130" unbalanced="0"/>
    <cacheHierarchy uniqueName="[mmmm].[Start Date (Quarter)]" caption="Start Date (Quarter)" attribute="1" defaultMemberUniqueName="[mmmm].[Start Date (Quarter)].[All]" allUniqueName="[mmmm].[Start Date (Quarter)].[All]" dimensionUniqueName="[mmmm]" displayFolder="" count="0" memberValueDatatype="130" unbalanced="0"/>
    <cacheHierarchy uniqueName="[mmmm].[Start Date (Month)]" caption="Start Date (Month)" attribute="1" defaultMemberUniqueName="[mmmm].[Start Date (Month)].[All]" allUniqueName="[mmmm].[Start Date (Month)].[All]" dimensionUniqueName="[mmmm]" displayFolder="" count="0" memberValueDatatype="130" unbalanced="0"/>
    <cacheHierarchy uniqueName="[mmmm].[Start Date (Month Index)]" caption="Start Date (Month Index)" attribute="1" defaultMemberUniqueName="[mmmm].[Start Date (Month Index)].[All]" allUniqueName="[mmmm].[Start Date (Month Index)].[All]" dimensionUniqueName="[mmmm]" displayFolder="" count="0" memberValueDatatype="20" unbalanced="0" hidden="1"/>
    <cacheHierarchy uniqueName="[Measures].[__XL_Count mmmm]" caption="__XL_Count mmmm" measure="1" displayFolder="" measureGroup="mmmm" count="0" hidden="1"/>
    <cacheHierarchy uniqueName="[Measures].[__No measures defined]" caption="__No measures defined" measure="1" displayFolder="" count="0" hidden="1"/>
    <cacheHierarchy uniqueName="[Measures].[Sum of ID]" caption="Sum of ID" measure="1" displayFolder="" measureGroup="mmmm"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mmmm"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mmmm"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mmmm"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mmmm" count="0" hidden="1">
      <extLst>
        <ext xmlns:x15="http://schemas.microsoft.com/office/spreadsheetml/2010/11/main" uri="{B97F6D7D-B522-45F9-BDA1-12C45D357490}">
          <x15:cacheHierarchy aggregatedColumn="10"/>
        </ext>
      </extLst>
    </cacheHierarchy>
    <cacheHierarchy uniqueName="[Measures].[Sum of Unpaid Leaves]" caption="Sum of Unpaid Leaves" measure="1" displayFolder="" measureGroup="mmmm"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mmmm"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mmmm"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Annual Salary]" caption="Sum of Annual Salary" measure="1" displayFolder="" measureGroup="mmmm" count="0" hidden="1">
      <extLst>
        <ext xmlns:x15="http://schemas.microsoft.com/office/spreadsheetml/2010/11/main" uri="{B97F6D7D-B522-45F9-BDA1-12C45D357490}">
          <x15:cacheHierarchy aggregatedColumn="11"/>
        </ext>
      </extLst>
    </cacheHierarchy>
    <cacheHierarchy uniqueName="[Measures].[Average of Annual Salary]" caption="Average of Annual Salary" measure="1" displayFolder="" measureGroup="mmmm"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mmmm" count="0" hidden="1">
      <extLst>
        <ext xmlns:x15="http://schemas.microsoft.com/office/spreadsheetml/2010/11/main" uri="{B97F6D7D-B522-45F9-BDA1-12C45D357490}">
          <x15:cacheHierarchy aggregatedColumn="12"/>
        </ext>
      </extLst>
    </cacheHierarchy>
    <cacheHierarchy uniqueName="[Measures].[Sum of Years]" caption="Sum of Years" measure="1" displayFolder="" measureGroup="mmmm" count="0" hidden="1">
      <extLst>
        <ext xmlns:x15="http://schemas.microsoft.com/office/spreadsheetml/2010/11/main" uri="{B97F6D7D-B522-45F9-BDA1-12C45D357490}">
          <x15:cacheHierarchy aggregatedColumn="6"/>
        </ext>
      </extLst>
    </cacheHierarchy>
    <cacheHierarchy uniqueName="[Measures].[Average of Sick Leaves]" caption="Average of Sick Leaves" measure="1" displayFolder="" measureGroup="mmmm"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mmmm" count="0" hidden="1">
      <extLst>
        <ext xmlns:x15="http://schemas.microsoft.com/office/spreadsheetml/2010/11/main" uri="{B97F6D7D-B522-45F9-BDA1-12C45D357490}">
          <x15:cacheHierarchy aggregatedColumn="14"/>
        </ext>
      </extLst>
    </cacheHierarchy>
    <cacheHierarchy uniqueName="[Measures].[Average of Job Rate]" caption="Average of Job Rate" measure="1" displayFolder="" measureGroup="mmmm" count="0" hidden="1">
      <extLst>
        <ext xmlns:x15="http://schemas.microsoft.com/office/spreadsheetml/2010/11/main" uri="{B97F6D7D-B522-45F9-BDA1-12C45D357490}">
          <x15:cacheHierarchy aggregatedColumn="12"/>
        </ext>
      </extLst>
    </cacheHierarchy>
    <cacheHierarchy uniqueName="[Measures].[Average of Years]" caption="Average of Years" measure="1" displayFolder="" measureGroup="mmmm" count="0" hidden="1">
      <extLst>
        <ext xmlns:x15="http://schemas.microsoft.com/office/spreadsheetml/2010/11/main" uri="{B97F6D7D-B522-45F9-BDA1-12C45D357490}">
          <x15:cacheHierarchy aggregatedColumn="6"/>
        </ext>
      </extLst>
    </cacheHierarchy>
    <cacheHierarchy uniqueName="[Measures].[Average of ID]" caption="Average of ID" measure="1" displayFolder="" measureGroup="mmmm"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mmm" uniqueName="[mmmm]" caption="mmmm"/>
  </dimensions>
  <measureGroups count="1">
    <measureGroup name="mmmm" caption="mmmm"/>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353694444442" backgroundQuery="1" createdVersion="8" refreshedVersion="8" minRefreshableVersion="3" recordCount="0" supportSubquery="1" supportAdvancedDrill="1" xr:uid="{3C5AA25F-99B2-4949-9EF5-B72A47908BCB}">
  <cacheSource type="external" connectionId="2"/>
  <cacheFields count="3">
    <cacheField name="[mmmm].[Center].[Center]" caption="Center" numFmtId="0" hierarchy="9" level="1">
      <sharedItems count="5">
        <s v="East"/>
        <s v="Main"/>
        <s v="North"/>
        <s v="South"/>
        <s v="West"/>
      </sharedItems>
    </cacheField>
    <cacheField name="[Measures].[Sum of ID]" caption="Sum of ID" numFmtId="0" hierarchy="22" level="32767"/>
    <cacheField name="[mmmm].[Department].[Department]" caption="Department" numFmtId="0" hierarchy="7" level="1">
      <sharedItems containsSemiMixedTypes="0" containsNonDate="0" containsString="0"/>
    </cacheField>
  </cacheFields>
  <cacheHierarchies count="39">
    <cacheHierarchy uniqueName="[mmmm].[ID]" caption="ID" attribute="1" defaultMemberUniqueName="[mmmm].[ID].[All]" allUniqueName="[mmmm].[ID].[All]" dimensionUniqueName="[mmmm]" displayFolder="" count="2" memberValueDatatype="20" unbalanced="0"/>
    <cacheHierarchy uniqueName="[mmmm].[First Name]" caption="First Name" attribute="1" defaultMemberUniqueName="[mmmm].[First Name].[All]" allUniqueName="[mmmm].[First Name].[All]" dimensionUniqueName="[mmmm]" displayFolder="" count="0" memberValueDatatype="130" unbalanced="0"/>
    <cacheHierarchy uniqueName="[mmmm].[Last Name]" caption="Last Name" attribute="1" defaultMemberUniqueName="[mmmm].[Last Name].[All]" allUniqueName="[mmmm].[Last Name].[All]" dimensionUniqueName="[mmmm]" displayFolder="" count="0" memberValueDatatype="130" unbalanced="0"/>
    <cacheHierarchy uniqueName="[mmmm].[Empolyee name]" caption="Empolyee name" attribute="1" defaultMemberUniqueName="[mmmm].[Empolyee name].[All]" allUniqueName="[mmmm].[Empolyee name].[All]" dimensionUniqueName="[mmmm]" displayFolder="" count="0" memberValueDatatype="130" unbalanced="0"/>
    <cacheHierarchy uniqueName="[mmmm].[Gender]" caption="Gender" attribute="1" defaultMemberUniqueName="[mmmm].[Gender].[All]" allUniqueName="[mmmm].[Gender].[All]" dimensionUniqueName="[mmmm]" displayFolder="" count="0" memberValueDatatype="130" unbalanced="0"/>
    <cacheHierarchy uniqueName="[mmmm].[Start Date]" caption="Start Date" attribute="1" time="1" defaultMemberUniqueName="[mmmm].[Start Date].[All]" allUniqueName="[mmmm].[Start Date].[All]" dimensionUniqueName="[mmmm]" displayFolder="" count="0" memberValueDatatype="7" unbalanced="0"/>
    <cacheHierarchy uniqueName="[mmmm].[Years]" caption="Years" attribute="1" defaultMemberUniqueName="[mmmm].[Years].[All]" allUniqueName="[mmmm].[Years].[All]" dimensionUniqueName="[mmmm]" displayFolder="" count="0" memberValueDatatype="20" unbalanced="0"/>
    <cacheHierarchy uniqueName="[mmmm].[Department]" caption="Department" attribute="1" defaultMemberUniqueName="[mmmm].[Department].[All]" allUniqueName="[mmmm].[Department].[All]" dimensionUniqueName="[mmmm]" displayFolder="" count="2" memberValueDatatype="130" unbalanced="0">
      <fieldsUsage count="2">
        <fieldUsage x="-1"/>
        <fieldUsage x="2"/>
      </fieldsUsage>
    </cacheHierarchy>
    <cacheHierarchy uniqueName="[mmmm].[Country]" caption="Country" attribute="1" defaultMemberUniqueName="[mmmm].[Country].[All]" allUniqueName="[mmmm].[Country].[All]" dimensionUniqueName="[mmmm]" displayFolder="" count="2" memberValueDatatype="130" unbalanced="0"/>
    <cacheHierarchy uniqueName="[mmmm].[Center]" caption="Center" attribute="1" defaultMemberUniqueName="[mmmm].[Center].[All]" allUniqueName="[mmmm].[Center].[All]" dimensionUniqueName="[mmmm]" displayFolder="" count="2" memberValueDatatype="130" unbalanced="0">
      <fieldsUsage count="2">
        <fieldUsage x="-1"/>
        <fieldUsage x="0"/>
      </fieldsUsage>
    </cacheHierarchy>
    <cacheHierarchy uniqueName="[mmmm].[Monthly Salary]" caption="Monthly Salary" attribute="1" defaultMemberUniqueName="[mmmm].[Monthly Salary].[All]" allUniqueName="[mmmm].[Monthly Salary].[All]" dimensionUniqueName="[mmmm]" displayFolder="" count="0" memberValueDatatype="20" unbalanced="0"/>
    <cacheHierarchy uniqueName="[mmmm].[Annual Salary]" caption="Annual Salary" attribute="1" defaultMemberUniqueName="[mmmm].[Annual Salary].[All]" allUniqueName="[mmmm].[Annual Salary].[All]" dimensionUniqueName="[mmmm]" displayFolder="" count="0" memberValueDatatype="20" unbalanced="0"/>
    <cacheHierarchy uniqueName="[mmmm].[Job Rate]" caption="Job Rate" attribute="1" defaultMemberUniqueName="[mmmm].[Job Rate].[All]" allUniqueName="[mmmm].[Job Rate].[All]" dimensionUniqueName="[mmmm]" displayFolder="" count="0" memberValueDatatype="5" unbalanced="0"/>
    <cacheHierarchy uniqueName="[mmmm].[Sick Leaves]" caption="Sick Leaves" attribute="1" defaultMemberUniqueName="[mmmm].[Sick Leaves].[All]" allUniqueName="[mmmm].[Sick Leaves].[All]" dimensionUniqueName="[mmmm]" displayFolder="" count="0" memberValueDatatype="20" unbalanced="0"/>
    <cacheHierarchy uniqueName="[mmmm].[Unpaid Leaves]" caption="Unpaid Leaves" attribute="1" defaultMemberUniqueName="[mmmm].[Unpaid Leaves].[All]" allUniqueName="[mmmm].[Unpaid Leaves].[All]" dimensionUniqueName="[mmmm]" displayFolder="" count="0" memberValueDatatype="20" unbalanced="0"/>
    <cacheHierarchy uniqueName="[mmmm].[Overtime Hours]" caption="Overtime Hours" attribute="1" defaultMemberUniqueName="[mmmm].[Overtime Hours].[All]" allUniqueName="[mmmm].[Overtime Hours].[All]" dimensionUniqueName="[mmmm]" displayFolder="" count="0" memberValueDatatype="20" unbalanced="0"/>
    <cacheHierarchy uniqueName="[mmmm].[Start Date (Year)]" caption="Start Date (Year)" attribute="1" defaultMemberUniqueName="[mmmm].[Start Date (Year)].[All]" allUniqueName="[mmmm].[Start Date (Year)].[All]" dimensionUniqueName="[mmmm]" displayFolder="" count="0" memberValueDatatype="130" unbalanced="0"/>
    <cacheHierarchy uniqueName="[mmmm].[Start Date (Quarter)]" caption="Start Date (Quarter)" attribute="1" defaultMemberUniqueName="[mmmm].[Start Date (Quarter)].[All]" allUniqueName="[mmmm].[Start Date (Quarter)].[All]" dimensionUniqueName="[mmmm]" displayFolder="" count="0" memberValueDatatype="130" unbalanced="0"/>
    <cacheHierarchy uniqueName="[mmmm].[Start Date (Month)]" caption="Start Date (Month)" attribute="1" defaultMemberUniqueName="[mmmm].[Start Date (Month)].[All]" allUniqueName="[mmmm].[Start Date (Month)].[All]" dimensionUniqueName="[mmmm]" displayFolder="" count="0" memberValueDatatype="130" unbalanced="0"/>
    <cacheHierarchy uniqueName="[mmmm].[Start Date (Month Index)]" caption="Start Date (Month Index)" attribute="1" defaultMemberUniqueName="[mmmm].[Start Date (Month Index)].[All]" allUniqueName="[mmmm].[Start Date (Month Index)].[All]" dimensionUniqueName="[mmmm]" displayFolder="" count="0" memberValueDatatype="20" unbalanced="0" hidden="1"/>
    <cacheHierarchy uniqueName="[Measures].[__XL_Count mmmm]" caption="__XL_Count mmmm" measure="1" displayFolder="" measureGroup="mmmm" count="0" hidden="1"/>
    <cacheHierarchy uniqueName="[Measures].[__No measures defined]" caption="__No measures defined" measure="1" displayFolder="" count="0" hidden="1"/>
    <cacheHierarchy uniqueName="[Measures].[Sum of ID]" caption="Sum of ID" measure="1" displayFolder="" measureGroup="mmmm"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ID]" caption="Count of ID" measure="1" displayFolder="" measureGroup="mmmm"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mmmm"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mmmm"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mmmm" count="0" hidden="1">
      <extLst>
        <ext xmlns:x15="http://schemas.microsoft.com/office/spreadsheetml/2010/11/main" uri="{B97F6D7D-B522-45F9-BDA1-12C45D357490}">
          <x15:cacheHierarchy aggregatedColumn="10"/>
        </ext>
      </extLst>
    </cacheHierarchy>
    <cacheHierarchy uniqueName="[Measures].[Sum of Unpaid Leaves]" caption="Sum of Unpaid Leaves" measure="1" displayFolder="" measureGroup="mmmm"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mmmm"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mmmm" count="0" hidden="1">
      <extLst>
        <ext xmlns:x15="http://schemas.microsoft.com/office/spreadsheetml/2010/11/main" uri="{B97F6D7D-B522-45F9-BDA1-12C45D357490}">
          <x15:cacheHierarchy aggregatedColumn="15"/>
        </ext>
      </extLst>
    </cacheHierarchy>
    <cacheHierarchy uniqueName="[Measures].[Sum of Annual Salary]" caption="Sum of Annual Salary" measure="1" displayFolder="" measureGroup="mmmm" count="0" hidden="1">
      <extLst>
        <ext xmlns:x15="http://schemas.microsoft.com/office/spreadsheetml/2010/11/main" uri="{B97F6D7D-B522-45F9-BDA1-12C45D357490}">
          <x15:cacheHierarchy aggregatedColumn="11"/>
        </ext>
      </extLst>
    </cacheHierarchy>
    <cacheHierarchy uniqueName="[Measures].[Average of Annual Salary]" caption="Average of Annual Salary" measure="1" displayFolder="" measureGroup="mmmm"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mmmm" count="0" hidden="1">
      <extLst>
        <ext xmlns:x15="http://schemas.microsoft.com/office/spreadsheetml/2010/11/main" uri="{B97F6D7D-B522-45F9-BDA1-12C45D357490}">
          <x15:cacheHierarchy aggregatedColumn="12"/>
        </ext>
      </extLst>
    </cacheHierarchy>
    <cacheHierarchy uniqueName="[Measures].[Sum of Years]" caption="Sum of Years" measure="1" displayFolder="" measureGroup="mmmm" count="0" hidden="1">
      <extLst>
        <ext xmlns:x15="http://schemas.microsoft.com/office/spreadsheetml/2010/11/main" uri="{B97F6D7D-B522-45F9-BDA1-12C45D357490}">
          <x15:cacheHierarchy aggregatedColumn="6"/>
        </ext>
      </extLst>
    </cacheHierarchy>
    <cacheHierarchy uniqueName="[Measures].[Average of Sick Leaves]" caption="Average of Sick Leaves" measure="1" displayFolder="" measureGroup="mmmm"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mmmm" count="0" hidden="1">
      <extLst>
        <ext xmlns:x15="http://schemas.microsoft.com/office/spreadsheetml/2010/11/main" uri="{B97F6D7D-B522-45F9-BDA1-12C45D357490}">
          <x15:cacheHierarchy aggregatedColumn="14"/>
        </ext>
      </extLst>
    </cacheHierarchy>
    <cacheHierarchy uniqueName="[Measures].[Average of Job Rate]" caption="Average of Job Rate" measure="1" displayFolder="" measureGroup="mmmm" count="0" hidden="1">
      <extLst>
        <ext xmlns:x15="http://schemas.microsoft.com/office/spreadsheetml/2010/11/main" uri="{B97F6D7D-B522-45F9-BDA1-12C45D357490}">
          <x15:cacheHierarchy aggregatedColumn="12"/>
        </ext>
      </extLst>
    </cacheHierarchy>
    <cacheHierarchy uniqueName="[Measures].[Average of Years]" caption="Average of Years" measure="1" displayFolder="" measureGroup="mmmm" count="0" hidden="1">
      <extLst>
        <ext xmlns:x15="http://schemas.microsoft.com/office/spreadsheetml/2010/11/main" uri="{B97F6D7D-B522-45F9-BDA1-12C45D357490}">
          <x15:cacheHierarchy aggregatedColumn="6"/>
        </ext>
      </extLst>
    </cacheHierarchy>
    <cacheHierarchy uniqueName="[Measures].[Average of ID]" caption="Average of ID" measure="1" displayFolder="" measureGroup="mmmm"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mmm" uniqueName="[mmmm]" caption="mmmm"/>
  </dimensions>
  <measureGroups count="1">
    <measureGroup name="mmmm" caption="mmmm"/>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353695370373" backgroundQuery="1" createdVersion="8" refreshedVersion="8" minRefreshableVersion="3" recordCount="0" supportSubquery="1" supportAdvancedDrill="1" xr:uid="{6D67169F-9918-4261-AE97-92E247AF7539}">
  <cacheSource type="external" connectionId="2"/>
  <cacheFields count="5">
    <cacheField name="[mmmm].[Country].[Country]" caption="Country" numFmtId="0" hierarchy="8" level="1">
      <sharedItems count="5">
        <s v="Egypt"/>
        <s v="Lebanon"/>
        <s v="Saudi Arabia"/>
        <s v="Syria"/>
        <s v="United Arab Emirates"/>
      </sharedItems>
    </cacheField>
    <cacheField name="[Measures].[Distinct Count of ID]" caption="Distinct Count of ID" numFmtId="0" hierarchy="24" level="32767"/>
    <cacheField name="[mmmm].[Center].[Center]" caption="Center" numFmtId="0" hierarchy="9" level="1">
      <sharedItems count="5">
        <s v="East"/>
        <s v="Main"/>
        <s v="North"/>
        <s v="South"/>
        <s v="West"/>
      </sharedItems>
    </cacheField>
    <cacheField name="[mmmm].[Start Date].[Start Date]" caption="Start Date" numFmtId="0" hierarchy="5" level="1">
      <sharedItems containsSemiMixedTypes="0" containsNonDate="0" containsDate="1" containsString="0" minDate="2016-01-08T00:00:00" maxDate="2020-12-30T00:00:00" count="539">
        <d v="2016-01-08T00:00:00"/>
        <d v="2016-01-12T00:00:00"/>
        <d v="2016-01-18T00:00:00"/>
        <d v="2016-01-20T00:00:00"/>
        <d v="2016-01-24T00:00:00"/>
        <d v="2016-01-27T00:00:00"/>
        <d v="2016-02-02T00:00:00"/>
        <d v="2016-02-05T00:00:00"/>
        <d v="2016-02-09T00:00:00"/>
        <d v="2016-02-12T00:00:00"/>
        <d v="2016-03-01T00:00:00"/>
        <d v="2016-03-05T00:00:00"/>
        <d v="2016-03-09T00:00:00"/>
        <d v="2016-04-13T00:00:00"/>
        <d v="2016-04-20T00:00:00"/>
        <d v="2016-05-02T00:00:00"/>
        <d v="2016-05-12T00:00:00"/>
        <d v="2016-05-14T00:00:00"/>
        <d v="2016-05-17T00:00:00"/>
        <d v="2016-05-27T00:00:00"/>
        <d v="2016-06-09T00:00:00"/>
        <d v="2016-06-16T00:00:00"/>
        <d v="2016-06-23T00:00:00"/>
        <d v="2016-06-26T00:00:00"/>
        <d v="2016-07-05T00:00:00"/>
        <d v="2016-07-06T00:00:00"/>
        <d v="2016-07-11T00:00:00"/>
        <d v="2016-07-23T00:00:00"/>
        <d v="2016-07-25T00:00:00"/>
        <d v="2016-08-01T00:00:00"/>
        <d v="2016-08-19T00:00:00"/>
        <d v="2016-08-21T00:00:00"/>
        <d v="2016-08-23T00:00:00"/>
        <d v="2016-08-27T00:00:00"/>
        <d v="2016-09-13T00:00:00"/>
        <d v="2016-09-16T00:00:00"/>
        <d v="2016-10-06T00:00:00"/>
        <d v="2016-10-11T00:00:00"/>
        <d v="2016-10-16T00:00:00"/>
        <d v="2016-11-06T00:00:00"/>
        <d v="2016-11-10T00:00:00"/>
        <d v="2016-11-13T00:00:00"/>
        <d v="2016-11-17T00:00:00"/>
        <d v="2016-11-18T00:00:00"/>
        <d v="2016-11-21T00:00:00"/>
        <d v="2016-11-27T00:00:00"/>
        <d v="2016-12-18T00:00:00"/>
        <d v="2016-12-20T00:00:00"/>
        <d v="2016-12-22T00:00:00"/>
        <d v="2017-01-01T00:00:00"/>
        <d v="2017-01-02T00:00:00"/>
        <d v="2017-01-12T00:00:00"/>
        <d v="2017-01-30T00:00:00"/>
        <d v="2017-02-01T00:00:00"/>
        <d v="2017-02-04T00:00:00"/>
        <d v="2017-02-06T00:00:00"/>
        <d v="2017-02-07T00:00:00"/>
        <d v="2017-02-12T00:00:00"/>
        <d v="2017-02-15T00:00:00"/>
        <d v="2017-02-19T00:00:00"/>
        <d v="2017-02-20T00:00:00"/>
        <d v="2017-02-21T00:00:00"/>
        <d v="2017-02-22T00:00:00"/>
        <d v="2017-02-25T00:00:00"/>
        <d v="2017-02-26T00:00:00"/>
        <d v="2017-03-01T00:00:00"/>
        <d v="2017-03-25T00:00:00"/>
        <d v="2017-03-29T00:00:00"/>
        <d v="2017-04-04T00:00:00"/>
        <d v="2017-04-10T00:00:00"/>
        <d v="2017-04-15T00:00:00"/>
        <d v="2017-04-17T00:00:00"/>
        <d v="2017-04-27T00:00:00"/>
        <d v="2017-04-29T00:00:00"/>
        <d v="2017-05-03T00:00:00"/>
        <d v="2017-05-05T00:00:00"/>
        <d v="2017-05-23T00:00:00"/>
        <d v="2017-05-24T00:00:00"/>
        <d v="2017-05-29T00:00:00"/>
        <d v="2017-06-06T00:00:00"/>
        <d v="2017-06-13T00:00:00"/>
        <d v="2017-06-17T00:00:00"/>
        <d v="2017-06-18T00:00:00"/>
        <d v="2017-06-21T00:00:00"/>
        <d v="2017-06-27T00:00:00"/>
        <d v="2017-06-28T00:00:00"/>
        <d v="2017-06-30T00:00:00"/>
        <d v="2017-07-11T00:00:00"/>
        <d v="2017-07-18T00:00:00"/>
        <d v="2017-07-21T00:00:00"/>
        <d v="2017-07-24T00:00:00"/>
        <d v="2017-07-26T00:00:00"/>
        <d v="2017-07-27T00:00:00"/>
        <d v="2017-07-29T00:00:00"/>
        <d v="2017-07-31T00:00:00"/>
        <d v="2017-08-05T00:00:00"/>
        <d v="2017-08-10T00:00:00"/>
        <d v="2017-08-26T00:00:00"/>
        <d v="2017-08-27T00:00:00"/>
        <d v="2017-08-30T00:00:00"/>
        <d v="2017-08-31T00:00:00"/>
        <d v="2017-09-04T00:00:00"/>
        <d v="2017-09-14T00:00:00"/>
        <d v="2017-09-15T00:00:00"/>
        <d v="2017-09-16T00:00:00"/>
        <d v="2017-09-18T00:00:00"/>
        <d v="2017-09-20T00:00:00"/>
        <d v="2017-09-26T00:00:00"/>
        <d v="2017-09-28T00:00:00"/>
        <d v="2017-09-29T00:00:00"/>
        <d v="2017-10-01T00:00:00"/>
        <d v="2017-10-02T00:00:00"/>
        <d v="2017-10-05T00:00:00"/>
        <d v="2017-10-30T00:00:00"/>
        <d v="2017-11-04T00:00:00"/>
        <d v="2017-11-19T00:00:00"/>
        <d v="2017-11-23T00:00:00"/>
        <d v="2017-12-02T00:00:00"/>
        <d v="2017-12-17T00:00:00"/>
        <d v="2017-12-27T00:00:00"/>
        <d v="2018-01-03T00:00:00"/>
        <d v="2018-01-04T00:00:00"/>
        <d v="2018-01-06T00:00:00"/>
        <d v="2018-01-07T00:00:00"/>
        <d v="2018-01-13T00:00:00"/>
        <d v="2018-01-16T00:00:00"/>
        <d v="2018-01-25T00:00:00"/>
        <d v="2018-01-26T00:00:00"/>
        <d v="2018-02-02T00:00:00"/>
        <d v="2018-02-05T00:00:00"/>
        <d v="2018-02-06T00:00:00"/>
        <d v="2018-02-10T00:00:00"/>
        <d v="2018-02-11T00:00:00"/>
        <d v="2018-02-15T00:00:00"/>
        <d v="2018-02-17T00:00:00"/>
        <d v="2018-02-23T00:00:00"/>
        <d v="2018-02-25T00:00:00"/>
        <d v="2018-02-28T00:00:00"/>
        <d v="2018-03-01T00:00:00"/>
        <d v="2018-03-07T00:00:00"/>
        <d v="2018-03-09T00:00:00"/>
        <d v="2018-03-11T00:00:00"/>
        <d v="2018-03-12T00:00:00"/>
        <d v="2018-03-14T00:00:00"/>
        <d v="2018-03-16T00:00:00"/>
        <d v="2018-03-17T00:00:00"/>
        <d v="2018-03-23T00:00:00"/>
        <d v="2018-03-24T00:00:00"/>
        <d v="2018-03-25T00:00:00"/>
        <d v="2018-04-04T00:00:00"/>
        <d v="2018-04-05T00:00:00"/>
        <d v="2018-04-07T00:00:00"/>
        <d v="2018-04-09T00:00:00"/>
        <d v="2018-04-10T00:00:00"/>
        <d v="2018-04-14T00:00:00"/>
        <d v="2018-04-17T00:00:00"/>
        <d v="2018-04-20T00:00:00"/>
        <d v="2018-04-24T00:00:00"/>
        <d v="2018-04-25T00:00:00"/>
        <d v="2018-04-28T00:00:00"/>
        <d v="2018-05-03T00:00:00"/>
        <d v="2018-05-04T00:00:00"/>
        <d v="2018-05-05T00:00:00"/>
        <d v="2018-05-10T00:00:00"/>
        <d v="2018-05-12T00:00:00"/>
        <d v="2018-05-14T00:00:00"/>
        <d v="2018-05-17T00:00:00"/>
        <d v="2018-05-19T00:00:00"/>
        <d v="2018-05-20T00:00:00"/>
        <d v="2018-05-24T00:00:00"/>
        <d v="2018-05-25T00:00:00"/>
        <d v="2018-05-28T00:00:00"/>
        <d v="2018-05-29T00:00:00"/>
        <d v="2018-05-30T00:00:00"/>
        <d v="2018-06-05T00:00:00"/>
        <d v="2018-06-09T00:00:00"/>
        <d v="2018-06-11T00:00:00"/>
        <d v="2018-06-14T00:00:00"/>
        <d v="2018-06-15T00:00:00"/>
        <d v="2018-06-17T00:00:00"/>
        <d v="2018-06-18T00:00:00"/>
        <d v="2018-06-21T00:00:00"/>
        <d v="2018-06-24T00:00:00"/>
        <d v="2018-06-28T00:00:00"/>
        <d v="2018-06-29T00:00:00"/>
        <d v="2018-07-03T00:00:00"/>
        <d v="2018-07-05T00:00:00"/>
        <d v="2018-07-08T00:00:00"/>
        <d v="2018-07-09T00:00:00"/>
        <d v="2018-07-19T00:00:00"/>
        <d v="2018-07-20T00:00:00"/>
        <d v="2018-07-26T00:00:00"/>
        <d v="2018-07-28T00:00:00"/>
        <d v="2018-08-02T00:00:00"/>
        <d v="2018-08-03T00:00:00"/>
        <d v="2018-08-10T00:00:00"/>
        <d v="2018-08-14T00:00:00"/>
        <d v="2018-08-17T00:00:00"/>
        <d v="2018-08-27T00:00:00"/>
        <d v="2018-09-05T00:00:00"/>
        <d v="2018-09-08T00:00:00"/>
        <d v="2018-09-15T00:00:00"/>
        <d v="2018-09-19T00:00:00"/>
        <d v="2018-09-30T00:00:00"/>
        <d v="2018-10-03T00:00:00"/>
        <d v="2018-10-05T00:00:00"/>
        <d v="2018-10-11T00:00:00"/>
        <d v="2018-10-12T00:00:00"/>
        <d v="2018-10-24T00:00:00"/>
        <d v="2018-10-25T00:00:00"/>
        <d v="2018-10-30T00:00:00"/>
        <d v="2018-11-06T00:00:00"/>
        <d v="2018-11-07T00:00:00"/>
        <d v="2018-11-09T00:00:00"/>
        <d v="2018-11-11T00:00:00"/>
        <d v="2018-11-26T00:00:00"/>
        <d v="2018-11-27T00:00:00"/>
        <d v="2018-11-29T00:00:00"/>
        <d v="2018-12-01T00:00:00"/>
        <d v="2018-12-03T00:00:00"/>
        <d v="2018-12-04T00:00:00"/>
        <d v="2018-12-05T00:00:00"/>
        <d v="2018-12-08T00:00:00"/>
        <d v="2018-12-09T00:00:00"/>
        <d v="2018-12-10T00:00:00"/>
        <d v="2018-12-14T00:00:00"/>
        <d v="2018-12-19T00:00:00"/>
        <d v="2018-12-20T00:00:00"/>
        <d v="2018-12-24T00:00:00"/>
        <d v="2018-12-27T00:00:00"/>
        <d v="2019-01-01T00:00:00"/>
        <d v="2019-01-02T00:00:00"/>
        <d v="2019-01-03T00:00:00"/>
        <d v="2019-01-06T00:00:00"/>
        <d v="2019-01-07T00:00:00"/>
        <d v="2019-01-08T00:00:00"/>
        <d v="2019-01-09T00:00:00"/>
        <d v="2019-01-10T00:00:00"/>
        <d v="2019-01-11T00:00:00"/>
        <d v="2019-01-14T00:00:00"/>
        <d v="2019-01-15T00:00:00"/>
        <d v="2019-01-16T00:00:00"/>
        <d v="2019-01-17T00:00:00"/>
        <d v="2019-01-18T00:00:00"/>
        <d v="2019-01-22T00:00:00"/>
        <d v="2019-01-25T00:00:00"/>
        <d v="2019-01-27T00:00:00"/>
        <d v="2019-01-28T00:00:00"/>
        <d v="2019-01-31T00:00:00"/>
        <d v="2019-02-01T00:00:00"/>
        <d v="2019-02-02T00:00:00"/>
        <d v="2019-02-03T00:00:00"/>
        <d v="2019-02-04T00:00:00"/>
        <d v="2019-02-06T00:00:00"/>
        <d v="2019-02-09T00:00:00"/>
        <d v="2019-02-10T00:00:00"/>
        <d v="2019-02-11T00:00:00"/>
        <d v="2019-02-12T00:00:00"/>
        <d v="2019-02-15T00:00:00"/>
        <d v="2019-02-16T00:00:00"/>
        <d v="2019-02-24T00:00:00"/>
        <d v="2019-02-28T00:00:00"/>
        <d v="2019-03-01T00:00:00"/>
        <d v="2019-03-03T00:00:00"/>
        <d v="2019-03-04T00:00:00"/>
        <d v="2019-03-05T00:00:00"/>
        <d v="2019-03-06T00:00:00"/>
        <d v="2019-03-13T00:00:00"/>
        <d v="2019-03-14T00:00:00"/>
        <d v="2019-03-16T00:00:00"/>
        <d v="2019-03-17T00:00:00"/>
        <d v="2019-03-18T00:00:00"/>
        <d v="2019-03-22T00:00:00"/>
        <d v="2019-03-23T00:00:00"/>
        <d v="2019-03-27T00:00:00"/>
        <d v="2019-03-29T00:00:00"/>
        <d v="2019-03-31T00:00:00"/>
        <d v="2019-04-01T00:00:00"/>
        <d v="2019-04-02T00:00:00"/>
        <d v="2019-04-03T00:00:00"/>
        <d v="2019-04-05T00:00:00"/>
        <d v="2019-04-07T00:00:00"/>
        <d v="2019-04-08T00:00:00"/>
        <d v="2019-04-10T00:00:00"/>
        <d v="2019-04-11T00:00:00"/>
        <d v="2019-04-13T00:00:00"/>
        <d v="2019-04-16T00:00:00"/>
        <d v="2019-04-17T00:00:00"/>
        <d v="2019-04-18T00:00:00"/>
        <d v="2019-04-19T00:00:00"/>
        <d v="2019-04-21T00:00:00"/>
        <d v="2019-04-22T00:00:00"/>
        <d v="2019-04-24T00:00:00"/>
        <d v="2019-04-26T00:00:00"/>
        <d v="2019-04-27T00:00:00"/>
        <d v="2019-05-01T00:00:00"/>
        <d v="2019-05-05T00:00:00"/>
        <d v="2019-05-06T00:00:00"/>
        <d v="2019-05-07T00:00:00"/>
        <d v="2019-05-08T00:00:00"/>
        <d v="2019-05-09T00:00:00"/>
        <d v="2019-05-10T00:00:00"/>
        <d v="2019-05-15T00:00:00"/>
        <d v="2019-05-18T00:00:00"/>
        <d v="2019-05-19T00:00:00"/>
        <d v="2019-05-20T00:00:00"/>
        <d v="2019-05-22T00:00:00"/>
        <d v="2019-05-27T00:00:00"/>
        <d v="2019-05-29T00:00:00"/>
        <d v="2019-05-30T00:00:00"/>
        <d v="2019-06-01T00:00:00"/>
        <d v="2019-06-02T00:00:00"/>
        <d v="2019-06-06T00:00:00"/>
        <d v="2019-06-07T00:00:00"/>
        <d v="2019-06-19T00:00:00"/>
        <d v="2019-06-22T00:00:00"/>
        <d v="2019-06-25T00:00:00"/>
        <d v="2019-06-26T00:00:00"/>
        <d v="2019-06-27T00:00:00"/>
        <d v="2019-07-01T00:00:00"/>
        <d v="2019-07-02T00:00:00"/>
        <d v="2019-07-06T00:00:00"/>
        <d v="2019-07-07T00:00:00"/>
        <d v="2019-07-08T00:00:00"/>
        <d v="2019-07-11T00:00:00"/>
        <d v="2019-07-15T00:00:00"/>
        <d v="2019-07-17T00:00:00"/>
        <d v="2019-07-19T00:00:00"/>
        <d v="2019-07-20T00:00:00"/>
        <d v="2019-07-28T00:00:00"/>
        <d v="2019-07-29T00:00:00"/>
        <d v="2019-07-30T00:00:00"/>
        <d v="2019-08-03T00:00:00"/>
        <d v="2019-08-04T00:00:00"/>
        <d v="2019-08-06T00:00:00"/>
        <d v="2019-08-07T00:00:00"/>
        <d v="2019-08-10T00:00:00"/>
        <d v="2019-08-11T00:00:00"/>
        <d v="2019-08-13T00:00:00"/>
        <d v="2019-08-15T00:00:00"/>
        <d v="2019-08-16T00:00:00"/>
        <d v="2019-08-17T00:00:00"/>
        <d v="2019-08-20T00:00:00"/>
        <d v="2019-08-21T00:00:00"/>
        <d v="2019-08-22T00:00:00"/>
        <d v="2019-08-27T00:00:00"/>
        <d v="2019-08-28T00:00:00"/>
        <d v="2019-08-30T00:00:00"/>
        <d v="2019-09-03T00:00:00"/>
        <d v="2019-09-07T00:00:00"/>
        <d v="2019-09-12T00:00:00"/>
        <d v="2019-09-14T00:00:00"/>
        <d v="2019-09-17T00:00:00"/>
        <d v="2019-09-18T00:00:00"/>
        <d v="2019-09-20T00:00:00"/>
        <d v="2019-09-21T00:00:00"/>
        <d v="2019-09-23T00:00:00"/>
        <d v="2019-09-25T00:00:00"/>
        <d v="2019-09-27T00:00:00"/>
        <d v="2019-09-29T00:00:00"/>
        <d v="2019-10-02T00:00:00"/>
        <d v="2019-10-03T00:00:00"/>
        <d v="2019-10-04T00:00:00"/>
        <d v="2019-10-06T00:00:00"/>
        <d v="2019-10-07T00:00:00"/>
        <d v="2019-10-08T00:00:00"/>
        <d v="2019-10-12T00:00:00"/>
        <d v="2019-10-14T00:00:00"/>
        <d v="2019-10-15T00:00:00"/>
        <d v="2019-10-17T00:00:00"/>
        <d v="2019-10-19T00:00:00"/>
        <d v="2019-10-20T00:00:00"/>
        <d v="2019-10-21T00:00:00"/>
        <d v="2019-10-23T00:00:00"/>
        <d v="2019-10-24T00:00:00"/>
        <d v="2019-10-26T00:00:00"/>
        <d v="2019-10-27T00:00:00"/>
        <d v="2019-10-28T00:00:00"/>
        <d v="2019-11-01T00:00:00"/>
        <d v="2019-11-06T00:00:00"/>
        <d v="2019-11-07T00:00:00"/>
        <d v="2019-11-08T00:00:00"/>
        <d v="2019-11-11T00:00:00"/>
        <d v="2019-11-12T00:00:00"/>
        <d v="2019-11-14T00:00:00"/>
        <d v="2019-11-15T00:00:00"/>
        <d v="2019-11-16T00:00:00"/>
        <d v="2019-11-17T00:00:00"/>
        <d v="2019-11-18T00:00:00"/>
        <d v="2019-11-23T00:00:00"/>
        <d v="2019-11-24T00:00:00"/>
        <d v="2019-11-25T00:00:00"/>
        <d v="2019-11-26T00:00:00"/>
        <d v="2019-11-28T00:00:00"/>
        <d v="2019-12-01T00:00:00"/>
        <d v="2019-12-03T00:00:00"/>
        <d v="2019-12-04T00:00:00"/>
        <d v="2019-12-07T00:00:00"/>
        <d v="2019-12-10T00:00:00"/>
        <d v="2019-12-11T00:00:00"/>
        <d v="2019-12-12T00:00:00"/>
        <d v="2019-12-14T00:00:00"/>
        <d v="2019-12-16T00:00:00"/>
        <d v="2019-12-18T00:00:00"/>
        <d v="2019-12-22T00:00:00"/>
        <d v="2019-12-23T00:00:00"/>
        <d v="2019-12-24T00:00:00"/>
        <d v="2019-12-26T00:00:00"/>
        <d v="2019-12-27T00:00:00"/>
        <d v="2019-12-31T00:00:00"/>
        <d v="2020-01-02T00:00:00"/>
        <d v="2020-01-03T00:00:00"/>
        <d v="2020-01-04T00:00:00"/>
        <d v="2020-01-05T00:00:00"/>
        <d v="2020-01-07T00:00:00"/>
        <d v="2020-01-08T00:00:00"/>
        <d v="2020-01-10T00:00:00"/>
        <d v="2020-01-16T00:00:00"/>
        <d v="2020-01-19T00:00:00"/>
        <d v="2020-01-20T00:00:00"/>
        <d v="2020-01-21T00:00:00"/>
        <d v="2020-01-22T00:00:00"/>
        <d v="2020-01-26T00:00:00"/>
        <d v="2020-02-04T00:00:00"/>
        <d v="2020-02-06T00:00:00"/>
        <d v="2020-02-08T00:00:00"/>
        <d v="2020-02-09T00:00:00"/>
        <d v="2020-02-23T00:00:00"/>
        <d v="2020-02-25T00:00:00"/>
        <d v="2020-02-29T00:00:00"/>
        <d v="2020-03-04T00:00:00"/>
        <d v="2020-03-05T00:00:00"/>
        <d v="2020-03-07T00:00:00"/>
        <d v="2020-03-09T00:00:00"/>
        <d v="2020-03-10T00:00:00"/>
        <d v="2020-03-11T00:00:00"/>
        <d v="2020-03-15T00:00:00"/>
        <d v="2020-03-18T00:00:00"/>
        <d v="2020-03-25T00:00:00"/>
        <d v="2020-04-10T00:00:00"/>
        <d v="2020-04-12T00:00:00"/>
        <d v="2020-04-15T00:00:00"/>
        <d v="2020-04-18T00:00:00"/>
        <d v="2020-04-19T00:00:00"/>
        <d v="2020-04-20T00:00:00"/>
        <d v="2020-04-23T00:00:00"/>
        <d v="2020-04-24T00:00:00"/>
        <d v="2020-04-29T00:00:00"/>
        <d v="2020-04-30T00:00:00"/>
        <d v="2020-05-03T00:00:00"/>
        <d v="2020-05-05T00:00:00"/>
        <d v="2020-05-06T00:00:00"/>
        <d v="2020-05-07T00:00:00"/>
        <d v="2020-05-08T00:00:00"/>
        <d v="2020-05-09T00:00:00"/>
        <d v="2020-05-12T00:00:00"/>
        <d v="2020-05-15T00:00:00"/>
        <d v="2020-05-16T00:00:00"/>
        <d v="2020-05-21T00:00:00"/>
        <d v="2020-05-23T00:00:00"/>
        <d v="2020-05-26T00:00:00"/>
        <d v="2020-05-27T00:00:00"/>
        <d v="2020-05-28T00:00:00"/>
        <d v="2020-05-30T00:00:00"/>
        <d v="2020-05-31T00:00:00"/>
        <d v="2020-06-03T00:00:00"/>
        <d v="2020-06-09T00:00:00"/>
        <d v="2020-06-11T00:00:00"/>
        <d v="2020-06-13T00:00:00"/>
        <d v="2020-06-14T00:00:00"/>
        <d v="2020-06-16T00:00:00"/>
        <d v="2020-06-26T00:00:00"/>
        <d v="2020-06-28T00:00:00"/>
        <d v="2020-06-29T00:00:00"/>
        <d v="2020-07-04T00:00:00"/>
        <d v="2020-07-11T00:00:00"/>
        <d v="2020-07-13T00:00:00"/>
        <d v="2020-07-15T00:00:00"/>
        <d v="2020-07-16T00:00:00"/>
        <d v="2020-07-18T00:00:00"/>
        <d v="2020-07-20T00:00:00"/>
        <d v="2020-07-24T00:00:00"/>
        <d v="2020-07-27T00:00:00"/>
        <d v="2020-08-01T00:00:00"/>
        <d v="2020-08-02T00:00:00"/>
        <d v="2020-08-05T00:00:00"/>
        <d v="2020-08-11T00:00:00"/>
        <d v="2020-08-12T00:00:00"/>
        <d v="2020-08-20T00:00:00"/>
        <d v="2020-08-21T00:00:00"/>
        <d v="2020-08-26T00:00:00"/>
        <d v="2020-08-28T00:00:00"/>
        <d v="2020-08-29T00:00:00"/>
        <d v="2020-09-08T00:00:00"/>
        <d v="2020-09-11T00:00:00"/>
        <d v="2020-09-13T00:00:00"/>
        <d v="2020-09-17T00:00:00"/>
        <d v="2020-09-18T00:00:00"/>
        <d v="2020-09-23T00:00:00"/>
        <d v="2020-09-28T00:00:00"/>
        <d v="2020-09-29T00:00:00"/>
        <d v="2020-10-02T00:00:00"/>
        <d v="2020-10-05T00:00:00"/>
        <d v="2020-10-11T00:00:00"/>
        <d v="2020-10-14T00:00:00"/>
        <d v="2020-10-15T00:00:00"/>
        <d v="2020-10-18T00:00:00"/>
        <d v="2020-10-19T00:00:00"/>
        <d v="2020-10-21T00:00:00"/>
        <d v="2020-10-22T00:00:00"/>
        <d v="2020-10-23T00:00:00"/>
        <d v="2020-10-26T00:00:00"/>
        <d v="2020-10-30T00:00:00"/>
        <d v="2020-11-03T00:00:00"/>
        <d v="2020-11-04T00:00:00"/>
        <d v="2020-11-06T00:00:00"/>
        <d v="2020-11-09T00:00:00"/>
        <d v="2020-11-11T00:00:00"/>
        <d v="2020-11-14T00:00:00"/>
        <d v="2020-11-15T00:00:00"/>
        <d v="2020-11-17T00:00:00"/>
        <d v="2020-11-21T00:00:00"/>
        <d v="2020-11-27T00:00:00"/>
        <d v="2020-11-28T00:00:00"/>
        <d v="2020-11-29T00:00:00"/>
        <d v="2020-11-30T00:00:00"/>
        <d v="2020-12-02T00:00:00"/>
        <d v="2020-12-03T00:00:00"/>
        <d v="2020-12-04T00:00:00"/>
        <d v="2020-12-10T00:00:00"/>
        <d v="2020-12-12T00:00:00"/>
        <d v="2020-12-13T00:00:00"/>
        <d v="2020-12-14T00:00:00"/>
        <d v="2020-12-16T00:00:00"/>
        <d v="2020-12-17T00:00:00"/>
        <d v="2020-12-19T00:00:00"/>
        <d v="2020-12-26T00:00:00"/>
        <d v="2020-12-27T00:00:00"/>
        <d v="2020-12-29T00:00:00"/>
      </sharedItems>
    </cacheField>
    <cacheField name="[mmmm].[Department].[Department]" caption="Department" numFmtId="0" hierarchy="7" level="1">
      <sharedItems containsSemiMixedTypes="0" containsNonDate="0" containsString="0"/>
    </cacheField>
  </cacheFields>
  <cacheHierarchies count="39">
    <cacheHierarchy uniqueName="[mmmm].[ID]" caption="ID" attribute="1" defaultMemberUniqueName="[mmmm].[ID].[All]" allUniqueName="[mmmm].[ID].[All]" dimensionUniqueName="[mmmm]" displayFolder="" count="2" memberValueDatatype="20" unbalanced="0"/>
    <cacheHierarchy uniqueName="[mmmm].[First Name]" caption="First Name" attribute="1" defaultMemberUniqueName="[mmmm].[First Name].[All]" allUniqueName="[mmmm].[First Name].[All]" dimensionUniqueName="[mmmm]" displayFolder="" count="0" memberValueDatatype="130" unbalanced="0"/>
    <cacheHierarchy uniqueName="[mmmm].[Last Name]" caption="Last Name" attribute="1" defaultMemberUniqueName="[mmmm].[Last Name].[All]" allUniqueName="[mmmm].[Last Name].[All]" dimensionUniqueName="[mmmm]" displayFolder="" count="0" memberValueDatatype="130" unbalanced="0"/>
    <cacheHierarchy uniqueName="[mmmm].[Empolyee name]" caption="Empolyee name" attribute="1" defaultMemberUniqueName="[mmmm].[Empolyee name].[All]" allUniqueName="[mmmm].[Empolyee name].[All]" dimensionUniqueName="[mmmm]" displayFolder="" count="0" memberValueDatatype="130" unbalanced="0"/>
    <cacheHierarchy uniqueName="[mmmm].[Gender]" caption="Gender" attribute="1" defaultMemberUniqueName="[mmmm].[Gender].[All]" allUniqueName="[mmmm].[Gender].[All]" dimensionUniqueName="[mmmm]" displayFolder="" count="0" memberValueDatatype="130" unbalanced="0"/>
    <cacheHierarchy uniqueName="[mmmm].[Start Date]" caption="Start Date" attribute="1" time="1" defaultMemberUniqueName="[mmmm].[Start Date].[All]" allUniqueName="[mmmm].[Start Date].[All]" dimensionUniqueName="[mmmm]" displayFolder="" count="2" memberValueDatatype="7" unbalanced="0">
      <fieldsUsage count="2">
        <fieldUsage x="-1"/>
        <fieldUsage x="3"/>
      </fieldsUsage>
    </cacheHierarchy>
    <cacheHierarchy uniqueName="[mmmm].[Years]" caption="Years" attribute="1" defaultMemberUniqueName="[mmmm].[Years].[All]" allUniqueName="[mmmm].[Years].[All]" dimensionUniqueName="[mmmm]" displayFolder="" count="0" memberValueDatatype="20" unbalanced="0"/>
    <cacheHierarchy uniqueName="[mmmm].[Department]" caption="Department" attribute="1" defaultMemberUniqueName="[mmmm].[Department].[All]" allUniqueName="[mmmm].[Department].[All]" dimensionUniqueName="[mmmm]" displayFolder="" count="2" memberValueDatatype="130" unbalanced="0">
      <fieldsUsage count="2">
        <fieldUsage x="-1"/>
        <fieldUsage x="4"/>
      </fieldsUsage>
    </cacheHierarchy>
    <cacheHierarchy uniqueName="[mmmm].[Country]" caption="Country" attribute="1" defaultMemberUniqueName="[mmmm].[Country].[All]" allUniqueName="[mmmm].[Country].[All]" dimensionUniqueName="[mmmm]" displayFolder="" count="2" memberValueDatatype="130" unbalanced="0">
      <fieldsUsage count="2">
        <fieldUsage x="-1"/>
        <fieldUsage x="0"/>
      </fieldsUsage>
    </cacheHierarchy>
    <cacheHierarchy uniqueName="[mmmm].[Center]" caption="Center" attribute="1" defaultMemberUniqueName="[mmmm].[Center].[All]" allUniqueName="[mmmm].[Center].[All]" dimensionUniqueName="[mmmm]" displayFolder="" count="2" memberValueDatatype="130" unbalanced="0">
      <fieldsUsage count="2">
        <fieldUsage x="-1"/>
        <fieldUsage x="2"/>
      </fieldsUsage>
    </cacheHierarchy>
    <cacheHierarchy uniqueName="[mmmm].[Monthly Salary]" caption="Monthly Salary" attribute="1" defaultMemberUniqueName="[mmmm].[Monthly Salary].[All]" allUniqueName="[mmmm].[Monthly Salary].[All]" dimensionUniqueName="[mmmm]" displayFolder="" count="0" memberValueDatatype="20" unbalanced="0"/>
    <cacheHierarchy uniqueName="[mmmm].[Annual Salary]" caption="Annual Salary" attribute="1" defaultMemberUniqueName="[mmmm].[Annual Salary].[All]" allUniqueName="[mmmm].[Annual Salary].[All]" dimensionUniqueName="[mmmm]" displayFolder="" count="0" memberValueDatatype="20" unbalanced="0"/>
    <cacheHierarchy uniqueName="[mmmm].[Job Rate]" caption="Job Rate" attribute="1" defaultMemberUniqueName="[mmmm].[Job Rate].[All]" allUniqueName="[mmmm].[Job Rate].[All]" dimensionUniqueName="[mmmm]" displayFolder="" count="0" memberValueDatatype="5" unbalanced="0"/>
    <cacheHierarchy uniqueName="[mmmm].[Sick Leaves]" caption="Sick Leaves" attribute="1" defaultMemberUniqueName="[mmmm].[Sick Leaves].[All]" allUniqueName="[mmmm].[Sick Leaves].[All]" dimensionUniqueName="[mmmm]" displayFolder="" count="0" memberValueDatatype="20" unbalanced="0"/>
    <cacheHierarchy uniqueName="[mmmm].[Unpaid Leaves]" caption="Unpaid Leaves" attribute="1" defaultMemberUniqueName="[mmmm].[Unpaid Leaves].[All]" allUniqueName="[mmmm].[Unpaid Leaves].[All]" dimensionUniqueName="[mmmm]" displayFolder="" count="0" memberValueDatatype="20" unbalanced="0"/>
    <cacheHierarchy uniqueName="[mmmm].[Overtime Hours]" caption="Overtime Hours" attribute="1" defaultMemberUniqueName="[mmmm].[Overtime Hours].[All]" allUniqueName="[mmmm].[Overtime Hours].[All]" dimensionUniqueName="[mmmm]" displayFolder="" count="0" memberValueDatatype="20" unbalanced="0"/>
    <cacheHierarchy uniqueName="[mmmm].[Start Date (Year)]" caption="Start Date (Year)" attribute="1" defaultMemberUniqueName="[mmmm].[Start Date (Year)].[All]" allUniqueName="[mmmm].[Start Date (Year)].[All]" dimensionUniqueName="[mmmm]" displayFolder="" count="0" memberValueDatatype="130" unbalanced="0"/>
    <cacheHierarchy uniqueName="[mmmm].[Start Date (Quarter)]" caption="Start Date (Quarter)" attribute="1" defaultMemberUniqueName="[mmmm].[Start Date (Quarter)].[All]" allUniqueName="[mmmm].[Start Date (Quarter)].[All]" dimensionUniqueName="[mmmm]" displayFolder="" count="0" memberValueDatatype="130" unbalanced="0"/>
    <cacheHierarchy uniqueName="[mmmm].[Start Date (Month)]" caption="Start Date (Month)" attribute="1" defaultMemberUniqueName="[mmmm].[Start Date (Month)].[All]" allUniqueName="[mmmm].[Start Date (Month)].[All]" dimensionUniqueName="[mmmm]" displayFolder="" count="0" memberValueDatatype="130" unbalanced="0"/>
    <cacheHierarchy uniqueName="[mmmm].[Start Date (Month Index)]" caption="Start Date (Month Index)" attribute="1" defaultMemberUniqueName="[mmmm].[Start Date (Month Index)].[All]" allUniqueName="[mmmm].[Start Date (Month Index)].[All]" dimensionUniqueName="[mmmm]" displayFolder="" count="0" memberValueDatatype="20" unbalanced="0" hidden="1"/>
    <cacheHierarchy uniqueName="[Measures].[__XL_Count mmmm]" caption="__XL_Count mmmm" measure="1" displayFolder="" measureGroup="mmmm" count="0" hidden="1"/>
    <cacheHierarchy uniqueName="[Measures].[__No measures defined]" caption="__No measures defined" measure="1" displayFolder="" count="0" hidden="1"/>
    <cacheHierarchy uniqueName="[Measures].[Sum of ID]" caption="Sum of ID" measure="1" displayFolder="" measureGroup="mmmm"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mmmm"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mmmm"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mmmm"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mmmm" count="0" hidden="1">
      <extLst>
        <ext xmlns:x15="http://schemas.microsoft.com/office/spreadsheetml/2010/11/main" uri="{B97F6D7D-B522-45F9-BDA1-12C45D357490}">
          <x15:cacheHierarchy aggregatedColumn="10"/>
        </ext>
      </extLst>
    </cacheHierarchy>
    <cacheHierarchy uniqueName="[Measures].[Sum of Unpaid Leaves]" caption="Sum of Unpaid Leaves" measure="1" displayFolder="" measureGroup="mmmm"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mmmm"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mmmm" count="0" hidden="1">
      <extLst>
        <ext xmlns:x15="http://schemas.microsoft.com/office/spreadsheetml/2010/11/main" uri="{B97F6D7D-B522-45F9-BDA1-12C45D357490}">
          <x15:cacheHierarchy aggregatedColumn="15"/>
        </ext>
      </extLst>
    </cacheHierarchy>
    <cacheHierarchy uniqueName="[Measures].[Sum of Annual Salary]" caption="Sum of Annual Salary" measure="1" displayFolder="" measureGroup="mmmm" count="0" hidden="1">
      <extLst>
        <ext xmlns:x15="http://schemas.microsoft.com/office/spreadsheetml/2010/11/main" uri="{B97F6D7D-B522-45F9-BDA1-12C45D357490}">
          <x15:cacheHierarchy aggregatedColumn="11"/>
        </ext>
      </extLst>
    </cacheHierarchy>
    <cacheHierarchy uniqueName="[Measures].[Average of Annual Salary]" caption="Average of Annual Salary" measure="1" displayFolder="" measureGroup="mmmm"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mmmm" count="0" hidden="1">
      <extLst>
        <ext xmlns:x15="http://schemas.microsoft.com/office/spreadsheetml/2010/11/main" uri="{B97F6D7D-B522-45F9-BDA1-12C45D357490}">
          <x15:cacheHierarchy aggregatedColumn="12"/>
        </ext>
      </extLst>
    </cacheHierarchy>
    <cacheHierarchy uniqueName="[Measures].[Sum of Years]" caption="Sum of Years" measure="1" displayFolder="" measureGroup="mmmm" count="0" hidden="1">
      <extLst>
        <ext xmlns:x15="http://schemas.microsoft.com/office/spreadsheetml/2010/11/main" uri="{B97F6D7D-B522-45F9-BDA1-12C45D357490}">
          <x15:cacheHierarchy aggregatedColumn="6"/>
        </ext>
      </extLst>
    </cacheHierarchy>
    <cacheHierarchy uniqueName="[Measures].[Average of Sick Leaves]" caption="Average of Sick Leaves" measure="1" displayFolder="" measureGroup="mmmm"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mmmm" count="0" hidden="1">
      <extLst>
        <ext xmlns:x15="http://schemas.microsoft.com/office/spreadsheetml/2010/11/main" uri="{B97F6D7D-B522-45F9-BDA1-12C45D357490}">
          <x15:cacheHierarchy aggregatedColumn="14"/>
        </ext>
      </extLst>
    </cacheHierarchy>
    <cacheHierarchy uniqueName="[Measures].[Average of Job Rate]" caption="Average of Job Rate" measure="1" displayFolder="" measureGroup="mmmm" count="0" hidden="1">
      <extLst>
        <ext xmlns:x15="http://schemas.microsoft.com/office/spreadsheetml/2010/11/main" uri="{B97F6D7D-B522-45F9-BDA1-12C45D357490}">
          <x15:cacheHierarchy aggregatedColumn="12"/>
        </ext>
      </extLst>
    </cacheHierarchy>
    <cacheHierarchy uniqueName="[Measures].[Average of Years]" caption="Average of Years" measure="1" displayFolder="" measureGroup="mmmm" count="0" hidden="1">
      <extLst>
        <ext xmlns:x15="http://schemas.microsoft.com/office/spreadsheetml/2010/11/main" uri="{B97F6D7D-B522-45F9-BDA1-12C45D357490}">
          <x15:cacheHierarchy aggregatedColumn="6"/>
        </ext>
      </extLst>
    </cacheHierarchy>
    <cacheHierarchy uniqueName="[Measures].[Average of ID]" caption="Average of ID" measure="1" displayFolder="" measureGroup="mmmm"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mmm" uniqueName="[mmmm]" caption="mmmm"/>
  </dimensions>
  <measureGroups count="1">
    <measureGroup name="mmmm" caption="mmmm"/>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353696759259" backgroundQuery="1" createdVersion="8" refreshedVersion="8" minRefreshableVersion="3" recordCount="0" supportSubquery="1" supportAdvancedDrill="1" xr:uid="{7E850023-EDB0-4010-BB38-6BA247F9A6C1}">
  <cacheSource type="external" connectionId="2"/>
  <cacheFields count="3">
    <cacheField name="[mmmm].[Start Date (Year)].[Start Date (Year)]" caption="Start Date (Year)" numFmtId="0" hierarchy="16" level="1">
      <sharedItems count="5">
        <s v="2016"/>
        <s v="2017"/>
        <s v="2018"/>
        <s v="2019"/>
        <s v="2020"/>
      </sharedItems>
    </cacheField>
    <cacheField name="[Measures].[Average of Years]" caption="Average of Years" numFmtId="0" hierarchy="37" level="32767"/>
    <cacheField name="[mmmm].[Department].[Department]" caption="Department" numFmtId="0" hierarchy="7" level="1">
      <sharedItems containsSemiMixedTypes="0" containsNonDate="0" containsString="0"/>
    </cacheField>
  </cacheFields>
  <cacheHierarchies count="39">
    <cacheHierarchy uniqueName="[mmmm].[ID]" caption="ID" attribute="1" defaultMemberUniqueName="[mmmm].[ID].[All]" allUniqueName="[mmmm].[ID].[All]" dimensionUniqueName="[mmmm]" displayFolder="" count="2" memberValueDatatype="20" unbalanced="0"/>
    <cacheHierarchy uniqueName="[mmmm].[First Name]" caption="First Name" attribute="1" defaultMemberUniqueName="[mmmm].[First Name].[All]" allUniqueName="[mmmm].[First Name].[All]" dimensionUniqueName="[mmmm]" displayFolder="" count="0" memberValueDatatype="130" unbalanced="0"/>
    <cacheHierarchy uniqueName="[mmmm].[Last Name]" caption="Last Name" attribute="1" defaultMemberUniqueName="[mmmm].[Last Name].[All]" allUniqueName="[mmmm].[Last Name].[All]" dimensionUniqueName="[mmmm]" displayFolder="" count="0" memberValueDatatype="130" unbalanced="0"/>
    <cacheHierarchy uniqueName="[mmmm].[Empolyee name]" caption="Empolyee name" attribute="1" defaultMemberUniqueName="[mmmm].[Empolyee name].[All]" allUniqueName="[mmmm].[Empolyee name].[All]" dimensionUniqueName="[mmmm]" displayFolder="" count="0" memberValueDatatype="130" unbalanced="0"/>
    <cacheHierarchy uniqueName="[mmmm].[Gender]" caption="Gender" attribute="1" defaultMemberUniqueName="[mmmm].[Gender].[All]" allUniqueName="[mmmm].[Gender].[All]" dimensionUniqueName="[mmmm]" displayFolder="" count="0" memberValueDatatype="130" unbalanced="0"/>
    <cacheHierarchy uniqueName="[mmmm].[Start Date]" caption="Start Date" attribute="1" time="1" defaultMemberUniqueName="[mmmm].[Start Date].[All]" allUniqueName="[mmmm].[Start Date].[All]" dimensionUniqueName="[mmmm]" displayFolder="" count="0" memberValueDatatype="7" unbalanced="0"/>
    <cacheHierarchy uniqueName="[mmmm].[Years]" caption="Years" attribute="1" defaultMemberUniqueName="[mmmm].[Years].[All]" allUniqueName="[mmmm].[Years].[All]" dimensionUniqueName="[mmmm]" displayFolder="" count="0" memberValueDatatype="20" unbalanced="0"/>
    <cacheHierarchy uniqueName="[mmmm].[Department]" caption="Department" attribute="1" defaultMemberUniqueName="[mmmm].[Department].[All]" allUniqueName="[mmmm].[Department].[All]" dimensionUniqueName="[mmmm]" displayFolder="" count="2" memberValueDatatype="130" unbalanced="0">
      <fieldsUsage count="2">
        <fieldUsage x="-1"/>
        <fieldUsage x="2"/>
      </fieldsUsage>
    </cacheHierarchy>
    <cacheHierarchy uniqueName="[mmmm].[Country]" caption="Country" attribute="1" defaultMemberUniqueName="[mmmm].[Country].[All]" allUniqueName="[mmmm].[Country].[All]" dimensionUniqueName="[mmmm]" displayFolder="" count="2" memberValueDatatype="130" unbalanced="0"/>
    <cacheHierarchy uniqueName="[mmmm].[Center]" caption="Center" attribute="1" defaultMemberUniqueName="[mmmm].[Center].[All]" allUniqueName="[mmmm].[Center].[All]" dimensionUniqueName="[mmmm]" displayFolder="" count="0" memberValueDatatype="130" unbalanced="0"/>
    <cacheHierarchy uniqueName="[mmmm].[Monthly Salary]" caption="Monthly Salary" attribute="1" defaultMemberUniqueName="[mmmm].[Monthly Salary].[All]" allUniqueName="[mmmm].[Monthly Salary].[All]" dimensionUniqueName="[mmmm]" displayFolder="" count="0" memberValueDatatype="20" unbalanced="0"/>
    <cacheHierarchy uniqueName="[mmmm].[Annual Salary]" caption="Annual Salary" attribute="1" defaultMemberUniqueName="[mmmm].[Annual Salary].[All]" allUniqueName="[mmmm].[Annual Salary].[All]" dimensionUniqueName="[mmmm]" displayFolder="" count="0" memberValueDatatype="20" unbalanced="0"/>
    <cacheHierarchy uniqueName="[mmmm].[Job Rate]" caption="Job Rate" attribute="1" defaultMemberUniqueName="[mmmm].[Job Rate].[All]" allUniqueName="[mmmm].[Job Rate].[All]" dimensionUniqueName="[mmmm]" displayFolder="" count="0" memberValueDatatype="5" unbalanced="0"/>
    <cacheHierarchy uniqueName="[mmmm].[Sick Leaves]" caption="Sick Leaves" attribute="1" defaultMemberUniqueName="[mmmm].[Sick Leaves].[All]" allUniqueName="[mmmm].[Sick Leaves].[All]" dimensionUniqueName="[mmmm]" displayFolder="" count="0" memberValueDatatype="20" unbalanced="0"/>
    <cacheHierarchy uniqueName="[mmmm].[Unpaid Leaves]" caption="Unpaid Leaves" attribute="1" defaultMemberUniqueName="[mmmm].[Unpaid Leaves].[All]" allUniqueName="[mmmm].[Unpaid Leaves].[All]" dimensionUniqueName="[mmmm]" displayFolder="" count="0" memberValueDatatype="20" unbalanced="0"/>
    <cacheHierarchy uniqueName="[mmmm].[Overtime Hours]" caption="Overtime Hours" attribute="1" defaultMemberUniqueName="[mmmm].[Overtime Hours].[All]" allUniqueName="[mmmm].[Overtime Hours].[All]" dimensionUniqueName="[mmmm]" displayFolder="" count="0" memberValueDatatype="20" unbalanced="0"/>
    <cacheHierarchy uniqueName="[mmmm].[Start Date (Year)]" caption="Start Date (Year)" attribute="1" defaultMemberUniqueName="[mmmm].[Start Date (Year)].[All]" allUniqueName="[mmmm].[Start Date (Year)].[All]" dimensionUniqueName="[mmmm]" displayFolder="" count="2" memberValueDatatype="130" unbalanced="0">
      <fieldsUsage count="2">
        <fieldUsage x="-1"/>
        <fieldUsage x="0"/>
      </fieldsUsage>
    </cacheHierarchy>
    <cacheHierarchy uniqueName="[mmmm].[Start Date (Quarter)]" caption="Start Date (Quarter)" attribute="1" defaultMemberUniqueName="[mmmm].[Start Date (Quarter)].[All]" allUniqueName="[mmmm].[Start Date (Quarter)].[All]" dimensionUniqueName="[mmmm]" displayFolder="" count="0" memberValueDatatype="130" unbalanced="0"/>
    <cacheHierarchy uniqueName="[mmmm].[Start Date (Month)]" caption="Start Date (Month)" attribute="1" defaultMemberUniqueName="[mmmm].[Start Date (Month)].[All]" allUniqueName="[mmmm].[Start Date (Month)].[All]" dimensionUniqueName="[mmmm]" displayFolder="" count="0" memberValueDatatype="130" unbalanced="0"/>
    <cacheHierarchy uniqueName="[mmmm].[Start Date (Month Index)]" caption="Start Date (Month Index)" attribute="1" defaultMemberUniqueName="[mmmm].[Start Date (Month Index)].[All]" allUniqueName="[mmmm].[Start Date (Month Index)].[All]" dimensionUniqueName="[mmmm]" displayFolder="" count="0" memberValueDatatype="20" unbalanced="0" hidden="1"/>
    <cacheHierarchy uniqueName="[Measures].[__XL_Count mmmm]" caption="__XL_Count mmmm" measure="1" displayFolder="" measureGroup="mmmm" count="0" hidden="1"/>
    <cacheHierarchy uniqueName="[Measures].[__No measures defined]" caption="__No measures defined" measure="1" displayFolder="" count="0" hidden="1"/>
    <cacheHierarchy uniqueName="[Measures].[Sum of ID]" caption="Sum of ID" measure="1" displayFolder="" measureGroup="mmmm"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mmmm"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mmmm"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mmmm"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mmmm" count="0" hidden="1">
      <extLst>
        <ext xmlns:x15="http://schemas.microsoft.com/office/spreadsheetml/2010/11/main" uri="{B97F6D7D-B522-45F9-BDA1-12C45D357490}">
          <x15:cacheHierarchy aggregatedColumn="10"/>
        </ext>
      </extLst>
    </cacheHierarchy>
    <cacheHierarchy uniqueName="[Measures].[Sum of Unpaid Leaves]" caption="Sum of Unpaid Leaves" measure="1" displayFolder="" measureGroup="mmmm"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mmmm"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mmmm" count="0" hidden="1">
      <extLst>
        <ext xmlns:x15="http://schemas.microsoft.com/office/spreadsheetml/2010/11/main" uri="{B97F6D7D-B522-45F9-BDA1-12C45D357490}">
          <x15:cacheHierarchy aggregatedColumn="15"/>
        </ext>
      </extLst>
    </cacheHierarchy>
    <cacheHierarchy uniqueName="[Measures].[Sum of Annual Salary]" caption="Sum of Annual Salary" measure="1" displayFolder="" measureGroup="mmmm" count="0" hidden="1">
      <extLst>
        <ext xmlns:x15="http://schemas.microsoft.com/office/spreadsheetml/2010/11/main" uri="{B97F6D7D-B522-45F9-BDA1-12C45D357490}">
          <x15:cacheHierarchy aggregatedColumn="11"/>
        </ext>
      </extLst>
    </cacheHierarchy>
    <cacheHierarchy uniqueName="[Measures].[Average of Annual Salary]" caption="Average of Annual Salary" measure="1" displayFolder="" measureGroup="mmmm"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mmmm" count="0" hidden="1">
      <extLst>
        <ext xmlns:x15="http://schemas.microsoft.com/office/spreadsheetml/2010/11/main" uri="{B97F6D7D-B522-45F9-BDA1-12C45D357490}">
          <x15:cacheHierarchy aggregatedColumn="12"/>
        </ext>
      </extLst>
    </cacheHierarchy>
    <cacheHierarchy uniqueName="[Measures].[Sum of Years]" caption="Sum of Years" measure="1" displayFolder="" measureGroup="mmmm" count="0" hidden="1">
      <extLst>
        <ext xmlns:x15="http://schemas.microsoft.com/office/spreadsheetml/2010/11/main" uri="{B97F6D7D-B522-45F9-BDA1-12C45D357490}">
          <x15:cacheHierarchy aggregatedColumn="6"/>
        </ext>
      </extLst>
    </cacheHierarchy>
    <cacheHierarchy uniqueName="[Measures].[Average of Sick Leaves]" caption="Average of Sick Leaves" measure="1" displayFolder="" measureGroup="mmmm"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mmmm" count="0" hidden="1">
      <extLst>
        <ext xmlns:x15="http://schemas.microsoft.com/office/spreadsheetml/2010/11/main" uri="{B97F6D7D-B522-45F9-BDA1-12C45D357490}">
          <x15:cacheHierarchy aggregatedColumn="14"/>
        </ext>
      </extLst>
    </cacheHierarchy>
    <cacheHierarchy uniqueName="[Measures].[Average of Job Rate]" caption="Average of Job Rate" measure="1" displayFolder="" measureGroup="mmmm" count="0" hidden="1">
      <extLst>
        <ext xmlns:x15="http://schemas.microsoft.com/office/spreadsheetml/2010/11/main" uri="{B97F6D7D-B522-45F9-BDA1-12C45D357490}">
          <x15:cacheHierarchy aggregatedColumn="12"/>
        </ext>
      </extLst>
    </cacheHierarchy>
    <cacheHierarchy uniqueName="[Measures].[Average of Years]" caption="Average of Years" measure="1" displayFolder="" measureGroup="mmmm" count="0" oneField="1" hidden="1">
      <fieldsUsage count="1">
        <fieldUsage x="1"/>
      </fieldsUsage>
      <extLst>
        <ext xmlns:x15="http://schemas.microsoft.com/office/spreadsheetml/2010/11/main" uri="{B97F6D7D-B522-45F9-BDA1-12C45D357490}">
          <x15:cacheHierarchy aggregatedColumn="6"/>
        </ext>
      </extLst>
    </cacheHierarchy>
    <cacheHierarchy uniqueName="[Measures].[Average of ID]" caption="Average of ID" measure="1" displayFolder="" measureGroup="mmmm"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mmm" uniqueName="[mmmm]" caption="mmmm"/>
  </dimensions>
  <measureGroups count="1">
    <measureGroup name="mmmm" caption="mmmm"/>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35369733796" backgroundQuery="1" createdVersion="8" refreshedVersion="8" minRefreshableVersion="3" recordCount="0" supportSubquery="1" supportAdvancedDrill="1" xr:uid="{0ED0E3F7-9FEE-4259-9684-BBDEF3D7D9D8}">
  <cacheSource type="external" connectionId="2"/>
  <cacheFields count="2">
    <cacheField name="[Measures].[Sum of ID]" caption="Sum of ID" numFmtId="0" hierarchy="22" level="32767"/>
    <cacheField name="[mmmm].[Department].[Department]" caption="Department" numFmtId="0" hierarchy="7" level="1">
      <sharedItems containsSemiMixedTypes="0" containsNonDate="0" containsString="0"/>
    </cacheField>
  </cacheFields>
  <cacheHierarchies count="39">
    <cacheHierarchy uniqueName="[mmmm].[ID]" caption="ID" attribute="1" defaultMemberUniqueName="[mmmm].[ID].[All]" allUniqueName="[mmmm].[ID].[All]" dimensionUniqueName="[mmmm]" displayFolder="" count="2" memberValueDatatype="20" unbalanced="0"/>
    <cacheHierarchy uniqueName="[mmmm].[First Name]" caption="First Name" attribute="1" defaultMemberUniqueName="[mmmm].[First Name].[All]" allUniqueName="[mmmm].[First Name].[All]" dimensionUniqueName="[mmmm]" displayFolder="" count="0" memberValueDatatype="130" unbalanced="0"/>
    <cacheHierarchy uniqueName="[mmmm].[Last Name]" caption="Last Name" attribute="1" defaultMemberUniqueName="[mmmm].[Last Name].[All]" allUniqueName="[mmmm].[Last Name].[All]" dimensionUniqueName="[mmmm]" displayFolder="" count="0" memberValueDatatype="130" unbalanced="0"/>
    <cacheHierarchy uniqueName="[mmmm].[Empolyee name]" caption="Empolyee name" attribute="1" defaultMemberUniqueName="[mmmm].[Empolyee name].[All]" allUniqueName="[mmmm].[Empolyee name].[All]" dimensionUniqueName="[mmmm]" displayFolder="" count="0" memberValueDatatype="130" unbalanced="0"/>
    <cacheHierarchy uniqueName="[mmmm].[Gender]" caption="Gender" attribute="1" defaultMemberUniqueName="[mmmm].[Gender].[All]" allUniqueName="[mmmm].[Gender].[All]" dimensionUniqueName="[mmmm]" displayFolder="" count="0" memberValueDatatype="130" unbalanced="0"/>
    <cacheHierarchy uniqueName="[mmmm].[Start Date]" caption="Start Date" attribute="1" time="1" defaultMemberUniqueName="[mmmm].[Start Date].[All]" allUniqueName="[mmmm].[Start Date].[All]" dimensionUniqueName="[mmmm]" displayFolder="" count="0" memberValueDatatype="7" unbalanced="0"/>
    <cacheHierarchy uniqueName="[mmmm].[Years]" caption="Years" attribute="1" defaultMemberUniqueName="[mmmm].[Years].[All]" allUniqueName="[mmmm].[Years].[All]" dimensionUniqueName="[mmmm]" displayFolder="" count="0" memberValueDatatype="20" unbalanced="0"/>
    <cacheHierarchy uniqueName="[mmmm].[Department]" caption="Department" attribute="1" defaultMemberUniqueName="[mmmm].[Department].[All]" allUniqueName="[mmmm].[Department].[All]" dimensionUniqueName="[mmmm]" displayFolder="" count="2" memberValueDatatype="130" unbalanced="0">
      <fieldsUsage count="2">
        <fieldUsage x="-1"/>
        <fieldUsage x="1"/>
      </fieldsUsage>
    </cacheHierarchy>
    <cacheHierarchy uniqueName="[mmmm].[Country]" caption="Country" attribute="1" defaultMemberUniqueName="[mmmm].[Country].[All]" allUniqueName="[mmmm].[Country].[All]" dimensionUniqueName="[mmmm]" displayFolder="" count="2" memberValueDatatype="130" unbalanced="0"/>
    <cacheHierarchy uniqueName="[mmmm].[Center]" caption="Center" attribute="1" defaultMemberUniqueName="[mmmm].[Center].[All]" allUniqueName="[mmmm].[Center].[All]" dimensionUniqueName="[mmmm]" displayFolder="" count="0" memberValueDatatype="130" unbalanced="0"/>
    <cacheHierarchy uniqueName="[mmmm].[Monthly Salary]" caption="Monthly Salary" attribute="1" defaultMemberUniqueName="[mmmm].[Monthly Salary].[All]" allUniqueName="[mmmm].[Monthly Salary].[All]" dimensionUniqueName="[mmmm]" displayFolder="" count="0" memberValueDatatype="20" unbalanced="0"/>
    <cacheHierarchy uniqueName="[mmmm].[Annual Salary]" caption="Annual Salary" attribute="1" defaultMemberUniqueName="[mmmm].[Annual Salary].[All]" allUniqueName="[mmmm].[Annual Salary].[All]" dimensionUniqueName="[mmmm]" displayFolder="" count="0" memberValueDatatype="20" unbalanced="0"/>
    <cacheHierarchy uniqueName="[mmmm].[Job Rate]" caption="Job Rate" attribute="1" defaultMemberUniqueName="[mmmm].[Job Rate].[All]" allUniqueName="[mmmm].[Job Rate].[All]" dimensionUniqueName="[mmmm]" displayFolder="" count="0" memberValueDatatype="5" unbalanced="0"/>
    <cacheHierarchy uniqueName="[mmmm].[Sick Leaves]" caption="Sick Leaves" attribute="1" defaultMemberUniqueName="[mmmm].[Sick Leaves].[All]" allUniqueName="[mmmm].[Sick Leaves].[All]" dimensionUniqueName="[mmmm]" displayFolder="" count="0" memberValueDatatype="20" unbalanced="0"/>
    <cacheHierarchy uniqueName="[mmmm].[Unpaid Leaves]" caption="Unpaid Leaves" attribute="1" defaultMemberUniqueName="[mmmm].[Unpaid Leaves].[All]" allUniqueName="[mmmm].[Unpaid Leaves].[All]" dimensionUniqueName="[mmmm]" displayFolder="" count="0" memberValueDatatype="20" unbalanced="0"/>
    <cacheHierarchy uniqueName="[mmmm].[Overtime Hours]" caption="Overtime Hours" attribute="1" defaultMemberUniqueName="[mmmm].[Overtime Hours].[All]" allUniqueName="[mmmm].[Overtime Hours].[All]" dimensionUniqueName="[mmmm]" displayFolder="" count="0" memberValueDatatype="20" unbalanced="0"/>
    <cacheHierarchy uniqueName="[mmmm].[Start Date (Year)]" caption="Start Date (Year)" attribute="1" defaultMemberUniqueName="[mmmm].[Start Date (Year)].[All]" allUniqueName="[mmmm].[Start Date (Year)].[All]" dimensionUniqueName="[mmmm]" displayFolder="" count="0" memberValueDatatype="130" unbalanced="0"/>
    <cacheHierarchy uniqueName="[mmmm].[Start Date (Quarter)]" caption="Start Date (Quarter)" attribute="1" defaultMemberUniqueName="[mmmm].[Start Date (Quarter)].[All]" allUniqueName="[mmmm].[Start Date (Quarter)].[All]" dimensionUniqueName="[mmmm]" displayFolder="" count="0" memberValueDatatype="130" unbalanced="0"/>
    <cacheHierarchy uniqueName="[mmmm].[Start Date (Month)]" caption="Start Date (Month)" attribute="1" defaultMemberUniqueName="[mmmm].[Start Date (Month)].[All]" allUniqueName="[mmmm].[Start Date (Month)].[All]" dimensionUniqueName="[mmmm]" displayFolder="" count="0" memberValueDatatype="130" unbalanced="0"/>
    <cacheHierarchy uniqueName="[mmmm].[Start Date (Month Index)]" caption="Start Date (Month Index)" attribute="1" defaultMemberUniqueName="[mmmm].[Start Date (Month Index)].[All]" allUniqueName="[mmmm].[Start Date (Month Index)].[All]" dimensionUniqueName="[mmmm]" displayFolder="" count="0" memberValueDatatype="20" unbalanced="0" hidden="1"/>
    <cacheHierarchy uniqueName="[Measures].[__XL_Count mmmm]" caption="__XL_Count mmmm" measure="1" displayFolder="" measureGroup="mmmm" count="0" hidden="1"/>
    <cacheHierarchy uniqueName="[Measures].[__No measures defined]" caption="__No measures defined" measure="1" displayFolder="" count="0" hidden="1"/>
    <cacheHierarchy uniqueName="[Measures].[Sum of ID]" caption="Sum of ID" measure="1" displayFolder="" measureGroup="mmmm"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ID]" caption="Count of ID" measure="1" displayFolder="" measureGroup="mmmm"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mmmm"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mmmm"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mmmm" count="0" hidden="1">
      <extLst>
        <ext xmlns:x15="http://schemas.microsoft.com/office/spreadsheetml/2010/11/main" uri="{B97F6D7D-B522-45F9-BDA1-12C45D357490}">
          <x15:cacheHierarchy aggregatedColumn="10"/>
        </ext>
      </extLst>
    </cacheHierarchy>
    <cacheHierarchy uniqueName="[Measures].[Sum of Unpaid Leaves]" caption="Sum of Unpaid Leaves" measure="1" displayFolder="" measureGroup="mmmm"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mmmm"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mmmm" count="0" hidden="1">
      <extLst>
        <ext xmlns:x15="http://schemas.microsoft.com/office/spreadsheetml/2010/11/main" uri="{B97F6D7D-B522-45F9-BDA1-12C45D357490}">
          <x15:cacheHierarchy aggregatedColumn="15"/>
        </ext>
      </extLst>
    </cacheHierarchy>
    <cacheHierarchy uniqueName="[Measures].[Sum of Annual Salary]" caption="Sum of Annual Salary" measure="1" displayFolder="" measureGroup="mmmm" count="0" hidden="1">
      <extLst>
        <ext xmlns:x15="http://schemas.microsoft.com/office/spreadsheetml/2010/11/main" uri="{B97F6D7D-B522-45F9-BDA1-12C45D357490}">
          <x15:cacheHierarchy aggregatedColumn="11"/>
        </ext>
      </extLst>
    </cacheHierarchy>
    <cacheHierarchy uniqueName="[Measures].[Average of Annual Salary]" caption="Average of Annual Salary" measure="1" displayFolder="" measureGroup="mmmm"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mmmm" count="0" hidden="1">
      <extLst>
        <ext xmlns:x15="http://schemas.microsoft.com/office/spreadsheetml/2010/11/main" uri="{B97F6D7D-B522-45F9-BDA1-12C45D357490}">
          <x15:cacheHierarchy aggregatedColumn="12"/>
        </ext>
      </extLst>
    </cacheHierarchy>
    <cacheHierarchy uniqueName="[Measures].[Sum of Years]" caption="Sum of Years" measure="1" displayFolder="" measureGroup="mmmm" count="0" hidden="1">
      <extLst>
        <ext xmlns:x15="http://schemas.microsoft.com/office/spreadsheetml/2010/11/main" uri="{B97F6D7D-B522-45F9-BDA1-12C45D357490}">
          <x15:cacheHierarchy aggregatedColumn="6"/>
        </ext>
      </extLst>
    </cacheHierarchy>
    <cacheHierarchy uniqueName="[Measures].[Average of Sick Leaves]" caption="Average of Sick Leaves" measure="1" displayFolder="" measureGroup="mmmm"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mmmm" count="0" hidden="1">
      <extLst>
        <ext xmlns:x15="http://schemas.microsoft.com/office/spreadsheetml/2010/11/main" uri="{B97F6D7D-B522-45F9-BDA1-12C45D357490}">
          <x15:cacheHierarchy aggregatedColumn="14"/>
        </ext>
      </extLst>
    </cacheHierarchy>
    <cacheHierarchy uniqueName="[Measures].[Average of Job Rate]" caption="Average of Job Rate" measure="1" displayFolder="" measureGroup="mmmm" count="0" hidden="1">
      <extLst>
        <ext xmlns:x15="http://schemas.microsoft.com/office/spreadsheetml/2010/11/main" uri="{B97F6D7D-B522-45F9-BDA1-12C45D357490}">
          <x15:cacheHierarchy aggregatedColumn="12"/>
        </ext>
      </extLst>
    </cacheHierarchy>
    <cacheHierarchy uniqueName="[Measures].[Average of Years]" caption="Average of Years" measure="1" displayFolder="" measureGroup="mmmm" count="0" hidden="1">
      <extLst>
        <ext xmlns:x15="http://schemas.microsoft.com/office/spreadsheetml/2010/11/main" uri="{B97F6D7D-B522-45F9-BDA1-12C45D357490}">
          <x15:cacheHierarchy aggregatedColumn="6"/>
        </ext>
      </extLst>
    </cacheHierarchy>
    <cacheHierarchy uniqueName="[Measures].[Average of ID]" caption="Average of ID" measure="1" displayFolder="" measureGroup="mmmm"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mmm" uniqueName="[mmmm]" caption="mmmm"/>
  </dimensions>
  <measureGroups count="1">
    <measureGroup name="mmmm" caption="mmmm"/>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353698032406" backgroundQuery="1" createdVersion="8" refreshedVersion="8" minRefreshableVersion="3" recordCount="0" supportSubquery="1" supportAdvancedDrill="1" xr:uid="{3EC34BE5-45D6-4D85-99D8-B30A1CFE41F6}">
  <cacheSource type="external" connectionId="2"/>
  <cacheFields count="2">
    <cacheField name="[mmmm].[First Name].[First Name]" caption="First Name" numFmtId="0" hierarchy="1" level="1">
      <sharedItems count="299">
        <s v="Abd Albasit"/>
        <s v="Abd Alhadi"/>
        <s v="Abd Allah"/>
        <s v="Abd Allatif"/>
        <s v="Abd Almalik"/>
        <s v="Abd Almueiyn"/>
        <s v="Abd Alrazzaq"/>
        <s v="Abd Alruhmin"/>
        <s v="Abd Alsamad"/>
        <s v="Abd Alwahhab"/>
        <s v="Abdalbasit"/>
        <s v="Abdaleziz"/>
        <s v="Abdalhadi"/>
        <s v="Abdalhai"/>
        <s v="Abdalkarim"/>
        <s v="Abdalkrim"/>
        <s v="Abdallah"/>
        <s v="Abdalmjid"/>
        <s v="Abdalrahmin"/>
        <s v="Abdalrhim"/>
        <s v="Abdalrhmin"/>
        <s v="Adnan"/>
        <s v="Afra"/>
        <s v="Ahed"/>
        <s v="Ahmad"/>
        <s v="Ailya"/>
        <s v="Aishah"/>
        <s v="Akram"/>
        <s v="Akthum"/>
        <s v="Alaa"/>
        <s v="Ali"/>
        <s v="Alia"/>
        <s v="Almuetaz"/>
        <s v="Almuthanaa"/>
        <s v="Alyida"/>
        <s v="Alysia"/>
        <s v="Amal"/>
        <s v="Amani"/>
        <s v="Amin"/>
        <s v="Amir"/>
        <s v="Amira"/>
        <s v="Amjad"/>
        <s v="Amyrah"/>
        <s v="Anas"/>
        <s v="Antuan"/>
        <s v="Anwar"/>
        <s v="Aryj"/>
        <s v="Asama"/>
        <s v="Asd"/>
        <s v="Asf"/>
        <s v="Ashraf"/>
        <s v="Asma"/>
        <s v="Asra"/>
        <s v="Asym"/>
        <s v="Ayat"/>
        <s v="Ayham"/>
        <s v="Ayly"/>
        <s v="Aylyn"/>
        <s v="Ayman"/>
        <s v="Aynas"/>
        <s v="Baha"/>
        <s v="Baha Aldiyn"/>
        <s v="Bakr"/>
        <s v="Bara"/>
        <s v="Bashaer"/>
        <s v="Bashshar"/>
        <s v="Basil"/>
        <s v="Basimah"/>
        <s v="Basmah"/>
        <s v="Batual"/>
        <s v="Bayan"/>
        <s v="Biaism"/>
        <s v="Bidralidin"/>
        <s v="Bilal"/>
        <s v="Bima"/>
        <s v="Bisam"/>
        <s v="Bushraa"/>
        <s v="Dalia"/>
        <s v="Danah"/>
        <s v="Dania"/>
        <s v="Daniah"/>
        <s v="Dany"/>
        <s v="Darar"/>
        <s v="Darin"/>
        <s v="Dia"/>
        <s v="Diana"/>
        <s v="Diea"/>
        <s v="Dijwar"/>
        <s v="Dima"/>
        <s v="Dinana"/>
        <s v="Duhana"/>
        <s v="Eala"/>
        <s v="Eamra"/>
        <s v="Eazalidin"/>
        <s v="Ehab"/>
        <s v="Eizat"/>
        <s v="Emad"/>
        <s v="Emam"/>
        <s v="Emar"/>
        <s v="Emara"/>
        <s v="Esamat"/>
        <s v="Eubay"/>
        <s v="Eubayda"/>
        <s v="Eynas"/>
        <s v="Fadi"/>
        <s v="Fahd"/>
        <s v="Farahad"/>
        <s v="Faras"/>
        <s v="Farial"/>
        <s v="Fatima"/>
        <s v="Fatin"/>
        <s v="Fatir"/>
        <s v="Fatnh"/>
        <s v="Fawaz"/>
        <s v="Fayaruz"/>
        <s v="Fuad"/>
        <s v="Fulla"/>
        <s v="Fyfian"/>
        <s v="Ghada"/>
        <s v="Ghadir"/>
        <s v="Ghaliah"/>
        <s v="Ghalib"/>
        <s v="Ghassan"/>
        <s v="Ghayth"/>
        <s v="Ghazal"/>
        <s v="Ghyath"/>
        <s v="Habib"/>
        <s v="Haithim"/>
        <s v="Hamdah"/>
        <s v="Hamzaa"/>
        <s v="Hanan"/>
        <s v="Hasan"/>
        <s v="Hazim"/>
        <s v="Hind"/>
        <s v="Husam"/>
        <s v="Husayn"/>
        <s v="Iad"/>
        <s v="Ibrahim"/>
        <s v="Ihsan"/>
        <s v="Iilian"/>
        <s v="Iilyas"/>
        <s v="Iin"/>
        <s v="Ikhlas"/>
        <s v="Iman"/>
        <s v="Imran"/>
        <s v="Isam"/>
        <s v="Ismaeil"/>
        <s v="Jablah"/>
        <s v="Jalal"/>
        <s v="Jamal"/>
        <s v="Jamil"/>
        <s v="Jan"/>
        <s v="Jawaher"/>
        <s v="Jihad"/>
        <s v="Jihan"/>
        <s v="Juri"/>
        <s v="Jury"/>
        <s v="Jwny"/>
        <s v="Kamal"/>
        <s v="Kamilia"/>
        <s v="Karam"/>
        <s v="Kawkab"/>
        <s v="Khadijah"/>
        <s v="Khaldun"/>
        <s v="Khalid"/>
        <s v="Khalil"/>
        <s v="Khawla"/>
        <s v="Kholoud"/>
        <s v="Kinda"/>
        <s v="Labanaa"/>
        <s v="Lama"/>
        <s v="Lamia"/>
        <s v="Lana"/>
        <s v="Lawiy"/>
        <s v="Lawy"/>
        <s v="Layzaan"/>
        <s v="Lbyb"/>
        <s v="Lilas"/>
        <s v="Limays"/>
        <s v="Lina"/>
        <s v="Lobnaa"/>
        <s v="Lujin"/>
        <s v="Lwiy"/>
        <s v="Lwna"/>
        <s v="Lwy"/>
        <s v="Lylas"/>
        <s v="Madlin"/>
        <s v="Mahir"/>
        <s v="Majd"/>
        <s v="Majdulin"/>
        <s v="Majdulyn"/>
        <s v="Majdy"/>
        <s v="Majid"/>
        <s v="Malik"/>
        <s v="Mari"/>
        <s v="Maria"/>
        <s v="Maya"/>
        <s v="Mazin"/>
        <s v="Muanis"/>
        <s v="Muayid"/>
        <s v="Muhamad"/>
        <s v="Mujdi"/>
        <s v="Muwmin"/>
        <s v="Omaimah"/>
        <s v="Omar"/>
        <s v="Oqba"/>
        <s v="Qasim"/>
        <s v="Qays"/>
        <s v="Rabana"/>
        <s v="Rabya"/>
        <s v="Rabye'"/>
        <s v="Rafat"/>
        <s v="Rafif"/>
        <s v="Raghad"/>
        <s v="Raghid"/>
        <s v="Rahaf"/>
        <s v="Raja"/>
        <s v="Rama"/>
        <s v="Ramadan"/>
        <s v="Rami"/>
        <s v="Ramiz"/>
        <s v="Rana"/>
        <s v="Randa"/>
        <s v="Ranim"/>
        <s v="Rannym"/>
        <s v="Ranya"/>
        <s v="Rasha"/>
        <s v="Rashad"/>
        <s v="Rasul"/>
        <s v="Rawan"/>
        <s v="Rayid"/>
        <s v="Razaan"/>
        <s v="Razan"/>
        <s v="Razzan"/>
        <s v="Riad"/>
        <s v="Ridwan"/>
        <s v="Rim"/>
        <s v="Rima"/>
        <s v="Rinah"/>
        <s v="Rita"/>
        <s v="Ruaa"/>
        <s v="Ruba"/>
        <s v="Rulaa"/>
        <s v="Ruyda"/>
        <s v="Rwad"/>
        <s v="Rwbyna"/>
        <s v="Rybal"/>
        <s v="Rym"/>
        <s v="Sabah"/>
        <s v="Saed"/>
        <s v="Saeid"/>
        <s v="Safa"/>
        <s v="Sahar"/>
        <s v="Salah"/>
        <s v="Salah Aldiyn"/>
        <s v="Salam"/>
        <s v="Sali"/>
        <s v="Salih"/>
        <s v="Salim"/>
        <s v="Salwaa"/>
        <s v="Samah"/>
        <s v="Samar"/>
        <s v="Sami"/>
        <s v="Samiah"/>
        <s v="Samir"/>
        <s v="Samirah"/>
        <s v="Sana"/>
        <s v="Sandra"/>
        <s v="Sandurana"/>
        <s v="Sara"/>
        <s v="Sarah"/>
        <s v="Sari"/>
        <s v="Sarih"/>
        <s v="Sayban"/>
        <s v="Sayf Aldiyn"/>
        <s v="Shadi"/>
        <s v="Shafiq"/>
        <s v="Shahad"/>
        <s v="Sharihan"/>
        <s v="Shilan"/>
        <s v="Shuruq"/>
        <s v="Sulayman"/>
        <s v="Sultan"/>
        <s v="Susin"/>
        <s v="Suzan"/>
        <s v="Tahani"/>
        <s v="Tala"/>
        <s v="Tamadur"/>
        <s v="Tana"/>
        <s v="Tariq"/>
        <s v="Thamir"/>
        <s v="Thayir"/>
        <s v="Yasmin"/>
        <s v="Zahir"/>
        <s v="Zakarian"/>
        <s v="Zaydun"/>
        <s v="Zayn"/>
        <s v="Zaynab"/>
        <s v="Zunar"/>
      </sharedItems>
    </cacheField>
    <cacheField name="[mmmm].[Department].[Department]" caption="Department" numFmtId="0" hierarchy="7" level="1">
      <sharedItems containsSemiMixedTypes="0" containsNonDate="0" containsString="0"/>
    </cacheField>
  </cacheFields>
  <cacheHierarchies count="39">
    <cacheHierarchy uniqueName="[mmmm].[ID]" caption="ID" attribute="1" defaultMemberUniqueName="[mmmm].[ID].[All]" allUniqueName="[mmmm].[ID].[All]" dimensionUniqueName="[mmmm]" displayFolder="" count="2" memberValueDatatype="20" unbalanced="0"/>
    <cacheHierarchy uniqueName="[mmmm].[First Name]" caption="First Name" attribute="1" defaultMemberUniqueName="[mmmm].[First Name].[All]" allUniqueName="[mmmm].[First Name].[All]" dimensionUniqueName="[mmmm]" displayFolder="" count="2" memberValueDatatype="130" unbalanced="0">
      <fieldsUsage count="2">
        <fieldUsage x="-1"/>
        <fieldUsage x="0"/>
      </fieldsUsage>
    </cacheHierarchy>
    <cacheHierarchy uniqueName="[mmmm].[Last Name]" caption="Last Name" attribute="1" defaultMemberUniqueName="[mmmm].[Last Name].[All]" allUniqueName="[mmmm].[Last Name].[All]" dimensionUniqueName="[mmmm]" displayFolder="" count="0" memberValueDatatype="130" unbalanced="0"/>
    <cacheHierarchy uniqueName="[mmmm].[Empolyee name]" caption="Empolyee name" attribute="1" defaultMemberUniqueName="[mmmm].[Empolyee name].[All]" allUniqueName="[mmmm].[Empolyee name].[All]" dimensionUniqueName="[mmmm]" displayFolder="" count="0" memberValueDatatype="130" unbalanced="0"/>
    <cacheHierarchy uniqueName="[mmmm].[Gender]" caption="Gender" attribute="1" defaultMemberUniqueName="[mmmm].[Gender].[All]" allUniqueName="[mmmm].[Gender].[All]" dimensionUniqueName="[mmmm]" displayFolder="" count="0" memberValueDatatype="130" unbalanced="0"/>
    <cacheHierarchy uniqueName="[mmmm].[Start Date]" caption="Start Date" attribute="1" time="1" defaultMemberUniqueName="[mmmm].[Start Date].[All]" allUniqueName="[mmmm].[Start Date].[All]" dimensionUniqueName="[mmmm]" displayFolder="" count="0" memberValueDatatype="7" unbalanced="0"/>
    <cacheHierarchy uniqueName="[mmmm].[Years]" caption="Years" attribute="1" defaultMemberUniqueName="[mmmm].[Years].[All]" allUniqueName="[mmmm].[Years].[All]" dimensionUniqueName="[mmmm]" displayFolder="" count="0" memberValueDatatype="20" unbalanced="0"/>
    <cacheHierarchy uniqueName="[mmmm].[Department]" caption="Department" attribute="1" defaultMemberUniqueName="[mmmm].[Department].[All]" allUniqueName="[mmmm].[Department].[All]" dimensionUniqueName="[mmmm]" displayFolder="" count="2" memberValueDatatype="130" unbalanced="0">
      <fieldsUsage count="2">
        <fieldUsage x="-1"/>
        <fieldUsage x="1"/>
      </fieldsUsage>
    </cacheHierarchy>
    <cacheHierarchy uniqueName="[mmmm].[Country]" caption="Country" attribute="1" defaultMemberUniqueName="[mmmm].[Country].[All]" allUniqueName="[mmmm].[Country].[All]" dimensionUniqueName="[mmmm]" displayFolder="" count="2" memberValueDatatype="130" unbalanced="0"/>
    <cacheHierarchy uniqueName="[mmmm].[Center]" caption="Center" attribute="1" defaultMemberUniqueName="[mmmm].[Center].[All]" allUniqueName="[mmmm].[Center].[All]" dimensionUniqueName="[mmmm]" displayFolder="" count="0" memberValueDatatype="130" unbalanced="0"/>
    <cacheHierarchy uniqueName="[mmmm].[Monthly Salary]" caption="Monthly Salary" attribute="1" defaultMemberUniqueName="[mmmm].[Monthly Salary].[All]" allUniqueName="[mmmm].[Monthly Salary].[All]" dimensionUniqueName="[mmmm]" displayFolder="" count="0" memberValueDatatype="20" unbalanced="0"/>
    <cacheHierarchy uniqueName="[mmmm].[Annual Salary]" caption="Annual Salary" attribute="1" defaultMemberUniqueName="[mmmm].[Annual Salary].[All]" allUniqueName="[mmmm].[Annual Salary].[All]" dimensionUniqueName="[mmmm]" displayFolder="" count="0" memberValueDatatype="20" unbalanced="0"/>
    <cacheHierarchy uniqueName="[mmmm].[Job Rate]" caption="Job Rate" attribute="1" defaultMemberUniqueName="[mmmm].[Job Rate].[All]" allUniqueName="[mmmm].[Job Rate].[All]" dimensionUniqueName="[mmmm]" displayFolder="" count="0" memberValueDatatype="5" unbalanced="0"/>
    <cacheHierarchy uniqueName="[mmmm].[Sick Leaves]" caption="Sick Leaves" attribute="1" defaultMemberUniqueName="[mmmm].[Sick Leaves].[All]" allUniqueName="[mmmm].[Sick Leaves].[All]" dimensionUniqueName="[mmmm]" displayFolder="" count="0" memberValueDatatype="20" unbalanced="0"/>
    <cacheHierarchy uniqueName="[mmmm].[Unpaid Leaves]" caption="Unpaid Leaves" attribute="1" defaultMemberUniqueName="[mmmm].[Unpaid Leaves].[All]" allUniqueName="[mmmm].[Unpaid Leaves].[All]" dimensionUniqueName="[mmmm]" displayFolder="" count="0" memberValueDatatype="20" unbalanced="0"/>
    <cacheHierarchy uniqueName="[mmmm].[Overtime Hours]" caption="Overtime Hours" attribute="1" defaultMemberUniqueName="[mmmm].[Overtime Hours].[All]" allUniqueName="[mmmm].[Overtime Hours].[All]" dimensionUniqueName="[mmmm]" displayFolder="" count="0" memberValueDatatype="20" unbalanced="0"/>
    <cacheHierarchy uniqueName="[mmmm].[Start Date (Year)]" caption="Start Date (Year)" attribute="1" defaultMemberUniqueName="[mmmm].[Start Date (Year)].[All]" allUniqueName="[mmmm].[Start Date (Year)].[All]" dimensionUniqueName="[mmmm]" displayFolder="" count="0" memberValueDatatype="130" unbalanced="0"/>
    <cacheHierarchy uniqueName="[mmmm].[Start Date (Quarter)]" caption="Start Date (Quarter)" attribute="1" defaultMemberUniqueName="[mmmm].[Start Date (Quarter)].[All]" allUniqueName="[mmmm].[Start Date (Quarter)].[All]" dimensionUniqueName="[mmmm]" displayFolder="" count="0" memberValueDatatype="130" unbalanced="0"/>
    <cacheHierarchy uniqueName="[mmmm].[Start Date (Month)]" caption="Start Date (Month)" attribute="1" defaultMemberUniqueName="[mmmm].[Start Date (Month)].[All]" allUniqueName="[mmmm].[Start Date (Month)].[All]" dimensionUniqueName="[mmmm]" displayFolder="" count="0" memberValueDatatype="130" unbalanced="0"/>
    <cacheHierarchy uniqueName="[mmmm].[Start Date (Month Index)]" caption="Start Date (Month Index)" attribute="1" defaultMemberUniqueName="[mmmm].[Start Date (Month Index)].[All]" allUniqueName="[mmmm].[Start Date (Month Index)].[All]" dimensionUniqueName="[mmmm]" displayFolder="" count="0" memberValueDatatype="20" unbalanced="0" hidden="1"/>
    <cacheHierarchy uniqueName="[Measures].[__XL_Count mmmm]" caption="__XL_Count mmmm" measure="1" displayFolder="" measureGroup="mmmm" count="0" hidden="1"/>
    <cacheHierarchy uniqueName="[Measures].[__No measures defined]" caption="__No measures defined" measure="1" displayFolder="" count="0" hidden="1"/>
    <cacheHierarchy uniqueName="[Measures].[Sum of ID]" caption="Sum of ID" measure="1" displayFolder="" measureGroup="mmmm"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mmmm"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mmmm"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mmmm"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mmmm" count="0" hidden="1">
      <extLst>
        <ext xmlns:x15="http://schemas.microsoft.com/office/spreadsheetml/2010/11/main" uri="{B97F6D7D-B522-45F9-BDA1-12C45D357490}">
          <x15:cacheHierarchy aggregatedColumn="10"/>
        </ext>
      </extLst>
    </cacheHierarchy>
    <cacheHierarchy uniqueName="[Measures].[Sum of Unpaid Leaves]" caption="Sum of Unpaid Leaves" measure="1" displayFolder="" measureGroup="mmmm"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mmmm"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mmmm" count="0" hidden="1">
      <extLst>
        <ext xmlns:x15="http://schemas.microsoft.com/office/spreadsheetml/2010/11/main" uri="{B97F6D7D-B522-45F9-BDA1-12C45D357490}">
          <x15:cacheHierarchy aggregatedColumn="15"/>
        </ext>
      </extLst>
    </cacheHierarchy>
    <cacheHierarchy uniqueName="[Measures].[Sum of Annual Salary]" caption="Sum of Annual Salary" measure="1" displayFolder="" measureGroup="mmmm" count="0" hidden="1">
      <extLst>
        <ext xmlns:x15="http://schemas.microsoft.com/office/spreadsheetml/2010/11/main" uri="{B97F6D7D-B522-45F9-BDA1-12C45D357490}">
          <x15:cacheHierarchy aggregatedColumn="11"/>
        </ext>
      </extLst>
    </cacheHierarchy>
    <cacheHierarchy uniqueName="[Measures].[Average of Annual Salary]" caption="Average of Annual Salary" measure="1" displayFolder="" measureGroup="mmmm"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mmmm" count="0" hidden="1">
      <extLst>
        <ext xmlns:x15="http://schemas.microsoft.com/office/spreadsheetml/2010/11/main" uri="{B97F6D7D-B522-45F9-BDA1-12C45D357490}">
          <x15:cacheHierarchy aggregatedColumn="12"/>
        </ext>
      </extLst>
    </cacheHierarchy>
    <cacheHierarchy uniqueName="[Measures].[Sum of Years]" caption="Sum of Years" measure="1" displayFolder="" measureGroup="mmmm" count="0" hidden="1">
      <extLst>
        <ext xmlns:x15="http://schemas.microsoft.com/office/spreadsheetml/2010/11/main" uri="{B97F6D7D-B522-45F9-BDA1-12C45D357490}">
          <x15:cacheHierarchy aggregatedColumn="6"/>
        </ext>
      </extLst>
    </cacheHierarchy>
    <cacheHierarchy uniqueName="[Measures].[Average of Sick Leaves]" caption="Average of Sick Leaves" measure="1" displayFolder="" measureGroup="mmmm"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mmmm" count="0" hidden="1">
      <extLst>
        <ext xmlns:x15="http://schemas.microsoft.com/office/spreadsheetml/2010/11/main" uri="{B97F6D7D-B522-45F9-BDA1-12C45D357490}">
          <x15:cacheHierarchy aggregatedColumn="14"/>
        </ext>
      </extLst>
    </cacheHierarchy>
    <cacheHierarchy uniqueName="[Measures].[Average of Job Rate]" caption="Average of Job Rate" measure="1" displayFolder="" measureGroup="mmmm" count="0" hidden="1">
      <extLst>
        <ext xmlns:x15="http://schemas.microsoft.com/office/spreadsheetml/2010/11/main" uri="{B97F6D7D-B522-45F9-BDA1-12C45D357490}">
          <x15:cacheHierarchy aggregatedColumn="12"/>
        </ext>
      </extLst>
    </cacheHierarchy>
    <cacheHierarchy uniqueName="[Measures].[Average of Years]" caption="Average of Years" measure="1" displayFolder="" measureGroup="mmmm" count="0" hidden="1">
      <extLst>
        <ext xmlns:x15="http://schemas.microsoft.com/office/spreadsheetml/2010/11/main" uri="{B97F6D7D-B522-45F9-BDA1-12C45D357490}">
          <x15:cacheHierarchy aggregatedColumn="6"/>
        </ext>
      </extLst>
    </cacheHierarchy>
    <cacheHierarchy uniqueName="[Measures].[Average of ID]" caption="Average of ID" measure="1" displayFolder="" measureGroup="mmmm"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mmm" uniqueName="[mmmm]" caption="mmmm"/>
  </dimensions>
  <measureGroups count="1">
    <measureGroup name="mmmm" caption="mmmm"/>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353679976855" backgroundQuery="1" createdVersion="8" refreshedVersion="8" minRefreshableVersion="3" recordCount="0" supportSubquery="1" supportAdvancedDrill="1" xr:uid="{710AE711-40CD-4DF1-8237-6BC218ADF8CE}">
  <cacheSource type="external" connectionId="2"/>
  <cacheFields count="3">
    <cacheField name="[mmmm].[Empolyee name].[Empolyee name]" caption="Empolyee name" numFmtId="0" hierarchy="3" level="1">
      <sharedItems count="675">
        <s v="Abd Albasit AlAhmar"/>
        <s v="Abd Alhadi Alzzahir"/>
        <s v="Abd Allah Aldahan"/>
        <s v="Abd Allah Almawsiliu"/>
        <s v="Abd Allatif Mabrukh"/>
        <s v="Abd Almalik Nazal"/>
        <s v="Abd Almueiyn Eitaya"/>
        <s v="Abd Alrazzaq Gharah"/>
        <s v="Abd Alruhmin Allaham"/>
        <s v="Abd Alruhmin Almahrus"/>
        <s v="Abd Alruhmin Alnasar"/>
        <s v="Abd Alruhmin Dulul"/>
        <s v="Abd Alruhmin Hamj"/>
        <s v="Abd Alruhmin Salih"/>
        <s v="Abd Alsamad Ahmad"/>
        <s v="Abd Alwahhab Aldhiyab"/>
        <s v="Abd Alwahhab Muhamad"/>
        <s v="Abdalbasit Aljazayiriu"/>
        <s v="Abdaleziz Eiwad"/>
        <s v="Abdalhadi Salim"/>
        <s v="Abdalhai Sarhan"/>
        <s v="Abdalkarim Shueayb"/>
        <s v="Abdalkrim Fadal"/>
        <s v="Abdallah Zakariaa"/>
        <s v="Abdalmjid Ahmad"/>
        <s v="Abdalrahmin Turkmany"/>
        <s v="Abdalrhim Eimaruh"/>
        <s v="Abdalrhmin Aljuju"/>
        <s v="Abdalrhmin Shwk"/>
        <s v="Adnan Aleaqla"/>
        <s v="Adnan Alhusayn"/>
        <s v="Adnan Allaadhiqanii"/>
        <s v="Afra Sharabi"/>
        <s v="Ahed Salim"/>
        <s v="Ahmad Abu Eadlh"/>
        <s v="Ahmad Abu Jaysh"/>
        <s v="Ahmad Ahmad"/>
        <s v="Ahmad Ahmid"/>
        <s v="Ahmad Aldiyk"/>
        <s v="Ahmad Aldwltali"/>
        <s v="Ahmad Alealbi"/>
        <s v="Ahmad Alghurani"/>
        <s v="Ahmad Almisri"/>
        <s v="Ahmad Alnajar"/>
        <s v="Ahmad Alqadi"/>
        <s v="Ahmad Alshalaq"/>
        <s v="Ahmad Alshamy"/>
        <s v="Ahmad Bikri"/>
        <s v="Ahmad Bradey"/>
        <s v="Ahmad Dabana"/>
        <s v="Ahmad Daeas"/>
        <s v="Ahmad Dahman"/>
        <s v="Ahmad Eashur"/>
        <s v="Ahmad Eurman"/>
        <s v="Ahmad Eyd Bndqjy"/>
        <s v="Ahmad Ezqul"/>
        <s v="Ahmad Hamuwd"/>
        <s v="Ahmad Hamuwdatan"/>
        <s v="Ahmad Iidlibi"/>
        <s v="Ahmad Iidris"/>
        <s v="Ahmad Kazeur"/>
        <s v="Ahmad Laylana"/>
        <s v="Ahmad Muhamad"/>
        <s v="Ahmad Naqawuh"/>
        <s v="Ahmad Qadimati"/>
        <s v="Ahmad Salih"/>
        <s v="Ahmad Shakir"/>
        <s v="Ahmad Swyd"/>
        <s v="Ahmad Zayd"/>
        <s v="Ahmad Zynu"/>
        <s v="Ailya Sharaf"/>
        <s v="Aishah Alquatliu"/>
        <s v="Akram Alhulwanii"/>
        <s v="Akthum Eibdalbaqi"/>
        <s v="Alaa Almisri"/>
        <s v="Alaa Almunzilijiu"/>
        <s v="Alaa Alqasir"/>
        <s v="Alaa Alrifaei"/>
        <s v="Alaa Altahhan"/>
        <s v="Alaa Alyusif"/>
        <s v="Alaa Efan"/>
        <s v="Alaa Hafiz"/>
        <s v="Alaa Iismaeil"/>
        <s v="Alaa Muhamad"/>
        <s v="Alaa Saed"/>
        <s v="Alaa Sultan"/>
        <s v="Alaa Yuzbik"/>
        <s v="Ali Alhuri"/>
        <s v="Ali Almiqdad"/>
        <s v="Ali Alnuwri"/>
        <s v="Ali Alqadri"/>
        <s v="Ali Alshaykh"/>
        <s v="Ali Barghaly"/>
        <s v="Ali Marwan"/>
        <s v="Ali Muhamad"/>
        <s v="Ali Nhl"/>
        <s v="Ali Watar"/>
        <s v="Ali Zyny"/>
        <s v="Alia Abu"/>
        <s v="Alia Maseud"/>
        <s v="Almuetaz Biallah"/>
        <s v="Almuthanaa Alsaediu"/>
        <s v="Alyida Nieamah"/>
        <s v="Alysia Alyaghshiu"/>
        <s v="Amal Alhusayn"/>
        <s v="Amal Asamy"/>
        <s v="Amani Altujjar"/>
        <s v="Amin Hamid"/>
        <s v="Amir Alhasan"/>
        <s v="Amir Alhifar"/>
        <s v="Amir Alkhatib"/>
        <s v="Amir Alkhawam"/>
        <s v="Amir Alnuwnu"/>
        <s v="Amir Karishati"/>
        <s v="Amira Akrym"/>
        <s v="Amjad Alrz"/>
        <s v="Amjad Naghnagh"/>
        <s v="Amjad Nasir"/>
        <s v="Amyrah Mudinih"/>
        <s v="Anas Eabidin"/>
        <s v="Antuan Litansdurfr"/>
        <s v="Anwar Alkhayran"/>
        <s v="Anwar Almaseud"/>
        <s v="Aryj Hamada"/>
        <s v="Asama Eilwan"/>
        <s v="Asd Bwfaeur"/>
        <s v="Asf Abultif"/>
        <s v="Ashraf Aleid"/>
        <s v="Asma Sadqawi"/>
        <s v="Asra Abuhani"/>
        <s v="Asra Almisri"/>
        <s v="Asra Jameah"/>
        <s v="Asym Aleaqqad"/>
        <s v="Ayat Byd"/>
        <s v="Ayham Aleisaa"/>
        <s v="Ayham Alkhlf"/>
        <s v="Ayham Almusaa"/>
        <s v="Ayham Alqadi"/>
        <s v="Ayham Kharbutli"/>
        <s v="Ayham Sharfah"/>
        <s v="Ayham Tutwnji"/>
        <s v="Ayly Bahriin"/>
        <s v="Aylyn Dahadal"/>
        <s v="Ayman Eubayd"/>
        <s v="Ayman Muhamad"/>
        <s v="Aynas Alhiwat"/>
        <s v="Baha Aldiyn Marzuq"/>
        <s v="Baha Eusqul"/>
        <s v="Bakr Eubdallah"/>
        <s v="Bara Alrrashid"/>
        <s v="Bashaer Hadalah"/>
        <s v="Bashshar Bilul"/>
        <s v="Bashshar Mareiun"/>
        <s v="Bashshar Shakhashiru"/>
        <s v="Basil Eabd Aleal"/>
        <s v="Basil Farahat"/>
        <s v="Basil Khiat"/>
        <s v="Basil Musaa"/>
        <s v="Basil Salih"/>
        <s v="Basimah Sybea"/>
        <s v="Basmah Alhabis"/>
        <s v="Batual Abu Fakhar"/>
        <s v="Bayan Darbika"/>
        <s v="Bayan Eurnus"/>
        <s v="Bayan Qdw"/>
        <s v="Biaism Tyzry"/>
        <s v="Bidralidin Ahmdghrybw"/>
        <s v="Bilal Alqalish"/>
        <s v="Bilal Aywbi"/>
        <s v="Bilal Einziin"/>
        <s v="Bilal Jalal"/>
        <s v="Bima Mustafaa"/>
        <s v="Bisam Almisri"/>
        <s v="Bisam Altahhan"/>
        <s v="Bushraa Drwysh"/>
        <s v="Dalia Hamdan"/>
        <s v="Dalia Nahlawi"/>
        <s v="Danah Almahdi"/>
        <s v="Danah Suirkili"/>
        <s v="Dania Almala"/>
        <s v="Dania Earmush"/>
        <s v="Daniah Alhariri"/>
        <s v="Dany Albaba"/>
        <s v="Darar Alshiyraziu"/>
        <s v="Darin Ghunum"/>
        <s v="Dia Alshahf"/>
        <s v="Diana Aleabd"/>
        <s v="Diana Muayid"/>
        <s v="Diea Almarstani"/>
        <s v="Diea Dakhal"/>
        <s v="Diea Filyun"/>
        <s v="Diea Jazar"/>
        <s v="Diea Sharina"/>
        <s v="Diea Shuelan"/>
        <s v="Dijwar Husu"/>
        <s v="Dima Drwysh"/>
        <s v="Dinana Zaydan"/>
        <s v="Duhana Alakhris"/>
        <s v="Eala Alhaj"/>
        <s v="Eala Almisri"/>
        <s v="Eala Dahbur"/>
        <s v="Eala Darkzifli"/>
        <s v="Eala Hatim"/>
        <s v="Eala Mitri"/>
        <s v="Eala Murad"/>
        <s v="Eala Zaniqa"/>
        <s v="Eamra Alshueranii"/>
        <s v="Eazalidin Almala"/>
        <s v="Ehab Alkhibaz"/>
        <s v="Eizat Ghanim"/>
        <s v="Emad Dulul"/>
        <s v="Emam Mansur"/>
        <s v="Emar Abil"/>
        <s v="Emar Alnisrin"/>
        <s v="Emar Eisaf"/>
        <s v="Emar Nakaash"/>
        <s v="Emara bwalsibae"/>
        <s v="Esamat Alhidad"/>
        <s v="Esamat Alriys"/>
        <s v="Esamat Zaza"/>
        <s v="Eubay Alttahir"/>
        <s v="Eubayda Kayd"/>
        <s v="Eynas Muhamad"/>
        <s v="Fadi Aleid"/>
        <s v="Fadi Aljizamati"/>
        <s v="Fadi Alqadi"/>
        <s v="Fadi Ghazzawi"/>
        <s v="Fadi Hububati"/>
        <s v="Fadi Nuna"/>
        <s v="Fadi Shakur"/>
        <s v="Fahd Shaykh"/>
        <s v="Farahad Husayn"/>
        <s v="Faras Alghandur"/>
        <s v="Faras Alhamal"/>
        <s v="Faras Alrahil"/>
        <s v="Faras Karim"/>
        <s v="Faras Kawaara"/>
        <s v="Faras Shaykh"/>
        <s v="Farial Qulumih"/>
        <s v="Fatima Hasan"/>
        <s v="Fatima Zaetar"/>
        <s v="Fatin Hamshu"/>
        <s v="Fatin Red"/>
        <s v="Fatir Alealiu"/>
        <s v="Fatnh Abu"/>
        <s v="Fawaz Ghazal"/>
        <s v="Fayaruz Sabih"/>
        <s v="Fuad Alsyqly"/>
        <s v="Fulla Alkhalid"/>
        <s v="Fyfian Abu"/>
        <s v="Ghada Aleasimii"/>
        <s v="Ghada Darakal"/>
        <s v="Ghada Khalid"/>
        <s v="Ghadir Hmshw"/>
        <s v="Ghaliah Eibad"/>
        <s v="Ghalib Zakianiin"/>
        <s v="Ghassan Aljamal"/>
        <s v="Ghayth Eali"/>
        <s v="Ghazal Alghan"/>
        <s v="Ghazal Hisan"/>
        <s v="Ghyath Abu"/>
        <s v="Habib Klizli"/>
        <s v="Haithim Hujah"/>
        <s v="Hamdah Alkhalifa"/>
        <s v="Hamzaa Astitih"/>
        <s v="Hanan Bradiei"/>
        <s v="Hanan Kurdiun"/>
        <s v="Hanan Salahi"/>
        <s v="Hasan Alfywmi"/>
        <s v="Hasan Aljasim"/>
        <s v="Hasan Iismaeil"/>
        <s v="Hasan Kalthum"/>
        <s v="Hasan Quidr"/>
        <s v="Hazim Alshshatim"/>
        <s v="Hind Almueasaeas"/>
        <s v="Husam Abu Shwmr"/>
        <s v="Husam Albush"/>
        <s v="Husam Aldiyn"/>
        <s v="Husam Aldubus"/>
        <s v="Husam Alhamd"/>
        <s v="Husam Alsaed"/>
        <s v="Husam Badr"/>
        <s v="Husam Tamim"/>
        <s v="Husam Ziada"/>
        <s v="Husayn Abu Nasir"/>
        <s v="Husayn Euthman"/>
        <s v="Husayn Hawria"/>
        <s v="Husayn Zaerur"/>
        <s v="Iad Alhusayn"/>
        <s v="Iad Alshaykh"/>
        <s v="Iad Badran"/>
        <s v="Iad Eaku"/>
        <s v="Iad Mahfud"/>
        <s v="Ibrahim Alhamid"/>
        <s v="Ibrahim Almasri"/>
        <s v="Ibrahim Alqatish"/>
        <s v="Ibrahim Alyasin"/>
        <s v="Ibrahim Nabulsi"/>
        <s v="Ihsan Eazu"/>
        <s v="Iilian Dbs"/>
        <s v="Iilyas Dahadal"/>
        <s v="Iin Alhaju Bikr"/>
        <s v="Iin Alhalaliu"/>
        <s v="Iin Alhumwi"/>
        <s v="Iin Almunzilijiu"/>
        <s v="Iin Bitahish"/>
        <s v="Iin Farahat"/>
        <s v="Iin Kafa"/>
        <s v="Iin Mulaliyun"/>
        <s v="Iin Murad"/>
        <s v="Iin Qisi"/>
        <s v="Ikhlas Alhasan"/>
        <s v="Iman Ghrz Aldiyn"/>
        <s v="Imran Hazruma"/>
        <s v="Isam Jadid"/>
        <s v="Ismaeil Jdwe"/>
        <s v="Jablah Alsulayman"/>
        <s v="Jalal Almuluhi"/>
        <s v="Jamal Alhalib"/>
        <s v="Jamil Ghabur"/>
        <s v="Jan Mikayiylian"/>
        <s v="Jawaher Shaykhus"/>
        <s v="Jihad Aldarawasha"/>
        <s v="Jihad Aldukifi"/>
        <s v="Jihan Alqudmani"/>
        <s v="Jihan Nadir"/>
        <s v="Juri Zaytun"/>
        <s v="Jury Eabuwd"/>
        <s v="Jwny Alrashid"/>
        <s v="Kamal Hajl"/>
        <s v="Kamilia Sydu"/>
        <s v="Karam Hutayniun"/>
        <s v="Karam Kiali"/>
        <s v="Kawkab Qarqazan"/>
        <s v="Khadijah Abu Taqih"/>
        <s v="Khadijah Turkamani"/>
        <s v="Khaldun Alsaedi"/>
        <s v="Khaldun Suqbani"/>
        <s v="Khalid Alem"/>
        <s v="Khalid Alkhawam"/>
        <s v="Khalid Iibrahim"/>
        <s v="Khalid Jameah"/>
        <s v="Khalid Siriul"/>
        <s v="Khalid Snan"/>
        <s v="Khalil Alkalu"/>
        <s v="Khalil Alzaebii"/>
        <s v="Khalil Salam"/>
        <s v="Khawla Dawi"/>
        <s v="Kholoud Huquq"/>
        <s v="Kholoud Khayti"/>
        <s v="Kinda Alaqre"/>
        <s v="Kinda Zaki"/>
        <s v="Labanaa Qaziyha"/>
        <s v="Lama Albazir"/>
        <s v="Lama Alhasan"/>
        <s v="Lama Almala"/>
        <s v="Lama Almisri"/>
        <s v="Lama Sabiq"/>
        <s v="Lama Yasin"/>
        <s v="Lamia Warur"/>
        <s v="Lana Alhabash"/>
        <s v="Lawiy Shiah"/>
        <s v="Lawy Nadaf"/>
        <s v="Layzaan Nabulsi"/>
        <s v="Lbyb Fahd"/>
        <s v="Lilas Balatah"/>
        <s v="Lilas Kashik"/>
        <s v="Lilas Nafae"/>
        <s v="Limays Ghrz"/>
        <s v="Lina Aljabaan"/>
        <s v="Lina Aljabr"/>
        <s v="Lina Wayly"/>
        <s v="Lobnaa Khalifih"/>
        <s v="Lujin Alaleppoy"/>
        <s v="Lwiy Qbany"/>
        <s v="Lwna Abu"/>
        <s v="Lwna Albahra"/>
        <s v="Lwy Abu"/>
        <s v="Lylas Shiah"/>
        <s v="Madlin Aljabaei"/>
        <s v="Madlin Alsaed"/>
        <s v="Madlin Saeid"/>
        <s v="Mahir Albaghdadi"/>
        <s v="Mahir Almarstani"/>
        <s v="Mahir Alshear"/>
        <s v="Mahir Bikar"/>
        <s v="Mahir Eabuwd"/>
        <s v="Majd Abuhamd"/>
        <s v="Majd Eisaa"/>
        <s v="Majd Yasin"/>
        <s v="Majdulin Ashbrh"/>
        <s v="Majdulyn Alhakim"/>
        <s v="Majdy Rafaea"/>
        <s v="Majid Aleusud"/>
        <s v="Malik Alshaykh"/>
        <s v="Mari Ayly"/>
        <s v="Mari Ayuwb"/>
        <s v="Maria Alhizae"/>
        <s v="Maria Lulu"/>
        <s v="Maya Alhmwi"/>
        <s v="Mazin Bihtiti"/>
        <s v="Mazin Bytar"/>
        <s v="Mazin Earabi"/>
        <s v="Mazin Eubayd"/>
        <s v="Mazin Shumut"/>
        <s v="Mazin Yusif"/>
        <s v="Mazin Zawal"/>
        <s v="Muanis Alsabagh"/>
        <s v="Muayid Shaqir"/>
        <s v="Muayid Shbyb"/>
        <s v="Muayid Siedih"/>
        <s v="Muhamad Abu Zamil"/>
        <s v="Muhamad Abunfis"/>
        <s v="Muhamad Alabth"/>
        <s v="Muhamad Alaya"/>
        <s v="Muhamad Albarnawi"/>
        <s v="Muhamad Albieli"/>
        <s v="Muhamad Aldamshqi"/>
        <s v="Muhamad Aldubbas"/>
        <s v="Muhamad Aleass"/>
        <s v="Muhamad Aleazm"/>
        <s v="Muhamad Aleliwi"/>
        <s v="Muhamad Alghazi"/>
        <s v="Muhamad Alghush"/>
        <s v="Muhamad Alkhatib"/>
        <s v="Muhamad Alkhayr"/>
        <s v="Muhamad Allibad"/>
        <s v="Muhamad Almaghribi"/>
        <s v="Muhamad Almaghribiu"/>
        <s v="Muhamad Almisri"/>
        <s v="Muhamad Almtlq"/>
        <s v="Muhamad Almunajid"/>
        <s v="Muhamad Almurashihi"/>
        <s v="Muhamad Alqadah"/>
        <s v="Muhamad Alrifaei"/>
        <s v="Muhamad Alsaedi"/>
        <s v="Muhamad Alsaman"/>
        <s v="Muhamad Alsaqaraq"/>
        <s v="Muhamad Alshahrur"/>
        <s v="Muhamad Alshghry"/>
        <s v="Muhamad Alssati"/>
        <s v="Muhamad Altarah"/>
        <s v="Muhamad Altynawi"/>
        <s v="Muhamad Alzaybq"/>
        <s v="Muhamad Alziyat"/>
        <s v="Muhamad Amir"/>
        <s v="Muhamad Asamh"/>
        <s v="Muhamad Asamh Tubae"/>
        <s v="Muhamad Asamy"/>
        <s v="Muhamad Ayman"/>
        <s v="Muhamad Badawiin"/>
        <s v="Muhamad Bashshar"/>
        <s v="Muhamad Basil"/>
        <s v="Muhamad Bdraldyn"/>
        <s v="Muhamad Bulta"/>
        <s v="Muhamad Dib"/>
        <s v="Muhamad Eala Aldiyn"/>
        <s v="Muhamad Eaqad"/>
        <s v="Muhamad Eataya"/>
        <s v="Muhamad Ebdalwahd"/>
        <s v="Muhamad Eursaly"/>
        <s v="Muhamad Eurul"/>
        <s v="Muhamad Hamzat"/>
        <s v="Muhamad Haydar"/>
        <s v="Muhamad Husayn"/>
        <s v="Muhamad Hylmyh"/>
        <s v="Muhamad Iad"/>
        <s v="Muhamad Iismaeil"/>
        <s v="Muhamad Jawish"/>
        <s v="Muhamad Jhad"/>
        <s v="Muhamad Jzayrly"/>
        <s v="Muhamad Khalid"/>
        <s v="Muhamad Khalil"/>
        <s v="Muhamad Kharasah"/>
        <s v="Muhamad Khayr"/>
        <s v="Muhamad Mshati"/>
        <s v="Muhamad Qarh"/>
        <s v="Muhamad Raft"/>
        <s v="Muhamad Rajab"/>
        <s v="Muhamad Ramzi"/>
        <s v="Muhamad Rashid"/>
        <s v="Muhamad Ratib"/>
        <s v="Muhamad Rghid"/>
        <s v="Muhamad Rinkusi"/>
        <s v="Muhamad Saeadat"/>
        <s v="Muhamad Saeid Alzarey"/>
        <s v="Muhamad Sakar"/>
        <s v="Muhamad Salah"/>
        <s v="Muhamad Salhany"/>
        <s v="Muhamad Shadi Alghazy"/>
        <s v="Muhamad Shadi Alkhiat"/>
        <s v="Muhamad Shaeban"/>
        <s v="Muhamad Sharif Aldaghly"/>
        <s v="Muhamad Shaykh Janid"/>
        <s v="Muhamad Shhybr"/>
        <s v="Muhamad Shrbjy"/>
        <s v="Muhamad Siedih"/>
        <s v="Muhamad Sulayman"/>
        <s v="Muhamad Suqabani"/>
        <s v="Muhamad Tamur"/>
        <s v="Muhamad Tasbihji"/>
        <s v="Muhamad Udib"/>
        <s v="Muhamad Zaydan"/>
        <s v="Muhamad Zueitr"/>
        <s v="Mujdi Kiwan"/>
        <s v="Muwmin Almudhin"/>
        <s v="Muwmin Almujahid"/>
        <s v="Muwmin Ewad"/>
        <s v="Omaimah Tqi Aldiyn"/>
        <s v="Omar Alhindi"/>
        <s v="Omar Altuean"/>
        <s v="Omar Alwurhani"/>
        <s v="Omar Hishan"/>
        <s v="Omar Kahulus"/>
        <s v="Omar Milatu"/>
        <s v="Omar Shakir"/>
        <s v="Omar Shawqi"/>
        <s v="Omar Zaqzuq"/>
        <s v="Omar Zarzur"/>
        <s v="Oqba Alqintar"/>
        <s v="Qasim Muhamad"/>
        <s v="Qays Dahna"/>
        <s v="Rabana Alsaman"/>
        <s v="Rabya Kiwan"/>
        <s v="Rabye' Alzrqawy"/>
        <s v="Rafat Hamza"/>
        <s v="Rafat Musaa"/>
        <s v="Rafif Khalf"/>
        <s v="Raghad Aghasi"/>
        <s v="Raghid Hutayniun"/>
        <s v="Rahaf Alaleppoy"/>
        <s v="Rahaf Eijluni"/>
        <s v="Rahaf Jamul"/>
        <s v="Rahaf Laylanaan"/>
        <s v="Raja Eaziza"/>
        <s v="Rama Alsaghir"/>
        <s v="Rama Asead"/>
        <s v="Ramadan Muhii Aldiyn"/>
        <s v="Rami Abu Adhan"/>
        <s v="Rami Hunun"/>
        <s v="Rami Shanan"/>
        <s v="Ramiz Aleuryan"/>
        <s v="Rana Eijrush"/>
        <s v="Rana Mius"/>
        <s v="Rana Shaeban"/>
        <s v="Randa Alajw"/>
        <s v="Ranim Earabi"/>
        <s v="Rannym Tyru"/>
        <s v="Ranya Alaishhab"/>
        <s v="Ranya Faris"/>
        <s v="Ranya Khuluf"/>
        <s v="Ranya Salah Aldiyn"/>
        <s v="Rasha Alrifaei"/>
        <s v="Rasha Asead"/>
        <s v="Rasha Bajubuj"/>
        <s v="Rasha Naeim"/>
        <s v="Rashad Iidris"/>
        <s v="Rasul Aleumurii"/>
        <s v="Rawan Albaytar"/>
        <s v="Rawan Durkzili"/>
        <s v="Rayid Zazana"/>
        <s v="Razaan Nasif"/>
        <s v="Razan AlAhmad"/>
        <s v="Razan Iybw"/>
        <s v="Razzan Alhusayni"/>
        <s v="Riad Sahalul"/>
        <s v="Ridwan Alshulyan"/>
        <s v="Rim Almusaa"/>
        <s v="Rim Hamdu"/>
        <s v="Rim Huaydi"/>
        <s v="Rim Mia"/>
        <s v="Rima AlAsfar"/>
        <s v="Rima Daly"/>
        <s v="Rima Dwalyby"/>
        <s v="Rima Jaridiun"/>
        <s v="Rinah Alkhuriu"/>
        <s v="Rita Dib"/>
        <s v="Ruaa Mukiin"/>
        <s v="Ruaa Qahraman"/>
        <s v="Ruba Aleid"/>
        <s v="Ruba Alhumwi"/>
        <s v="Ruba Alsiraj"/>
        <s v="Rulaa Shannar"/>
        <s v="Ruyda Alhamadii"/>
        <s v="Rwad Alddahir"/>
        <s v="Rwbyna Iibrahim"/>
        <s v="Rybal Sabagh"/>
        <s v="Rym Alsydawi"/>
        <s v="Sabah Qadish"/>
        <s v="Saed Alsiyah"/>
        <s v="Saeid Mazlum"/>
        <s v="Safa AlAhmar"/>
        <s v="Safa Alshahadat"/>
        <s v="Sahar Almuhamad"/>
        <s v="Sahar Jaridiun"/>
        <s v="Sahar Qisam"/>
        <s v="Salah Aldiyn Altibae"/>
        <s v="Salah Aldiyn Salayk"/>
        <s v="Salah Ramadan"/>
        <s v="Salam Alealbi"/>
        <s v="Salam Alkhatib"/>
        <s v="Sali Musuh"/>
        <s v="Salih Alhamuwd"/>
        <s v="Salih Altawil"/>
        <s v="Salih Dawara"/>
        <s v="Salim Abumaeun"/>
        <s v="Salim Albarghali"/>
        <s v="Salim Aleabd"/>
        <s v="Salwaa Alsyd"/>
        <s v="Samah Alkhatib"/>
        <s v="Samah Almaydanii"/>
        <s v="Samar Alqutb"/>
        <s v="Sami Aldrwysh"/>
        <s v="Sami Alkhayrat"/>
        <s v="Sami Alkhujih"/>
        <s v="Sami Alsyd Ahmad"/>
        <s v="Sami Qareush"/>
        <s v="Samiah Alsaedi"/>
        <s v="Samir Alealiu"/>
        <s v="Samir Alhaj Ali"/>
        <s v="Samir Almisri"/>
        <s v="Samir Alsaeid"/>
        <s v="Samir Alsafdi"/>
        <s v="Samir Altaynawi"/>
        <s v="Samir Sariji"/>
        <s v="Samir Shalish"/>
        <s v="Samirah Jumea"/>
        <s v="Sana Alhusayn"/>
        <s v="Sana Maeruf"/>
        <s v="Sandra Aljurmqaniu"/>
        <s v="Sandurana Antun"/>
        <s v="Sara Tabanaj"/>
        <s v="Sarah Damrani"/>
        <s v="Sarah Haydar"/>
        <s v="Sari Hanna"/>
        <s v="Sarih Eammar"/>
        <s v="Sayban Musur"/>
        <s v="Sayf Aldiyn Alkmshh"/>
        <s v="Shadi Altibae"/>
        <s v="Shadi Qitan"/>
        <s v="Shadi Salayk"/>
        <s v="Shafiq Almalih"/>
        <s v="Shahad Shanan"/>
        <s v="Sharihan Rihan"/>
        <s v="Shilan Ahmad"/>
        <s v="Shuruq Aljuju"/>
        <s v="Sulayman Zinu"/>
        <s v="Sultan Alhijar"/>
        <s v="Sultan Taysir"/>
        <s v="Susin Almilat"/>
        <s v="Suzan Alsawis"/>
        <s v="Tahani Yasir"/>
        <s v="Tala Tuish"/>
        <s v="Tamadur Barghuth"/>
        <s v="Tana Dahruj"/>
        <s v="Tariq Abuzahir"/>
        <s v="Tariq Aldhahabi"/>
        <s v="Tariq Alkinaya"/>
        <s v="Tariq Bryghl"/>
        <s v="Tariq Dw"/>
        <s v="Tariq Salim"/>
        <s v="Tariq Shakir"/>
        <s v="Tariq Shams"/>
        <s v="Tariq Zaeur"/>
        <s v="Thamir Abu Ghazy"/>
        <s v="Thayir Hamuwda"/>
        <s v="Yasmin Eamir"/>
        <s v="Zahir Aleitar"/>
        <s v="Zahir Eisaa"/>
        <s v="Zahir Zarie"/>
        <s v="Zakarian Rashwani"/>
        <s v="Zaydun Jabir"/>
        <s v="Zayn Aleabdyn Zaetar"/>
        <s v="Zaynab Eirat"/>
        <s v="Zunar Eali"/>
      </sharedItems>
    </cacheField>
    <cacheField name="[Measures].[Sum of ID]" caption="Sum of ID" numFmtId="0" hierarchy="22" level="32767"/>
    <cacheField name="[mmmm].[Department].[Department]" caption="Department" numFmtId="0" hierarchy="7" level="1">
      <sharedItems containsSemiMixedTypes="0" containsNonDate="0" containsString="0"/>
    </cacheField>
  </cacheFields>
  <cacheHierarchies count="39">
    <cacheHierarchy uniqueName="[mmmm].[ID]" caption="ID" attribute="1" defaultMemberUniqueName="[mmmm].[ID].[All]" allUniqueName="[mmmm].[ID].[All]" dimensionUniqueName="[mmmm]" displayFolder="" count="2" memberValueDatatype="20" unbalanced="0"/>
    <cacheHierarchy uniqueName="[mmmm].[First Name]" caption="First Name" attribute="1" defaultMemberUniqueName="[mmmm].[First Name].[All]" allUniqueName="[mmmm].[First Name].[All]" dimensionUniqueName="[mmmm]" displayFolder="" count="2" memberValueDatatype="130" unbalanced="0"/>
    <cacheHierarchy uniqueName="[mmmm].[Last Name]" caption="Last Name" attribute="1" defaultMemberUniqueName="[mmmm].[Last Name].[All]" allUniqueName="[mmmm].[Last Name].[All]" dimensionUniqueName="[mmmm]" displayFolder="" count="2" memberValueDatatype="130" unbalanced="0"/>
    <cacheHierarchy uniqueName="[mmmm].[Empolyee name]" caption="Empolyee name" attribute="1" defaultMemberUniqueName="[mmmm].[Empolyee name].[All]" allUniqueName="[mmmm].[Empolyee name].[All]" dimensionUniqueName="[mmmm]" displayFolder="" count="2" memberValueDatatype="130" unbalanced="0">
      <fieldsUsage count="2">
        <fieldUsage x="-1"/>
        <fieldUsage x="0"/>
      </fieldsUsage>
    </cacheHierarchy>
    <cacheHierarchy uniqueName="[mmmm].[Gender]" caption="Gender" attribute="1" defaultMemberUniqueName="[mmmm].[Gender].[All]" allUniqueName="[mmmm].[Gender].[All]" dimensionUniqueName="[mmmm]" displayFolder="" count="2" memberValueDatatype="130" unbalanced="0"/>
    <cacheHierarchy uniqueName="[mmmm].[Start Date]" caption="Start Date" attribute="1" time="1" defaultMemberUniqueName="[mmmm].[Start Date].[All]" allUniqueName="[mmmm].[Start Date].[All]" dimensionUniqueName="[mmmm]" displayFolder="" count="2" memberValueDatatype="7" unbalanced="0"/>
    <cacheHierarchy uniqueName="[mmmm].[Years]" caption="Years" attribute="1" defaultMemberUniqueName="[mmmm].[Years].[All]" allUniqueName="[mmmm].[Years].[All]" dimensionUniqueName="[mmmm]" displayFolder="" count="2" memberValueDatatype="20" unbalanced="0"/>
    <cacheHierarchy uniqueName="[mmmm].[Department]" caption="Department" attribute="1" defaultMemberUniqueName="[mmmm].[Department].[All]" allUniqueName="[mmmm].[Department].[All]" dimensionUniqueName="[mmmm]" displayFolder="" count="2" memberValueDatatype="130" unbalanced="0">
      <fieldsUsage count="2">
        <fieldUsage x="-1"/>
        <fieldUsage x="2"/>
      </fieldsUsage>
    </cacheHierarchy>
    <cacheHierarchy uniqueName="[mmmm].[Country]" caption="Country" attribute="1" defaultMemberUniqueName="[mmmm].[Country].[All]" allUniqueName="[mmmm].[Country].[All]" dimensionUniqueName="[mmmm]" displayFolder="" count="2" memberValueDatatype="130" unbalanced="0"/>
    <cacheHierarchy uniqueName="[mmmm].[Center]" caption="Center" attribute="1" defaultMemberUniqueName="[mmmm].[Center].[All]" allUniqueName="[mmmm].[Center].[All]" dimensionUniqueName="[mmmm]" displayFolder="" count="2" memberValueDatatype="130" unbalanced="0"/>
    <cacheHierarchy uniqueName="[mmmm].[Monthly Salary]" caption="Monthly Salary" attribute="1" defaultMemberUniqueName="[mmmm].[Monthly Salary].[All]" allUniqueName="[mmmm].[Monthly Salary].[All]" dimensionUniqueName="[mmmm]" displayFolder="" count="2" memberValueDatatype="20" unbalanced="0"/>
    <cacheHierarchy uniqueName="[mmmm].[Annual Salary]" caption="Annual Salary" attribute="1" defaultMemberUniqueName="[mmmm].[Annual Salary].[All]" allUniqueName="[mmmm].[Annual Salary].[All]" dimensionUniqueName="[mmmm]" displayFolder="" count="2" memberValueDatatype="20" unbalanced="0"/>
    <cacheHierarchy uniqueName="[mmmm].[Job Rate]" caption="Job Rate" attribute="1" defaultMemberUniqueName="[mmmm].[Job Rate].[All]" allUniqueName="[mmmm].[Job Rate].[All]" dimensionUniqueName="[mmmm]" displayFolder="" count="2" memberValueDatatype="5" unbalanced="0"/>
    <cacheHierarchy uniqueName="[mmmm].[Sick Leaves]" caption="Sick Leaves" attribute="1" defaultMemberUniqueName="[mmmm].[Sick Leaves].[All]" allUniqueName="[mmmm].[Sick Leaves].[All]" dimensionUniqueName="[mmmm]" displayFolder="" count="2" memberValueDatatype="20" unbalanced="0"/>
    <cacheHierarchy uniqueName="[mmmm].[Unpaid Leaves]" caption="Unpaid Leaves" attribute="1" defaultMemberUniqueName="[mmmm].[Unpaid Leaves].[All]" allUniqueName="[mmmm].[Unpaid Leaves].[All]" dimensionUniqueName="[mmmm]" displayFolder="" count="2" memberValueDatatype="20" unbalanced="0"/>
    <cacheHierarchy uniqueName="[mmmm].[Overtime Hours]" caption="Overtime Hours" attribute="1" defaultMemberUniqueName="[mmmm].[Overtime Hours].[All]" allUniqueName="[mmmm].[Overtime Hours].[All]" dimensionUniqueName="[mmmm]" displayFolder="" count="2" memberValueDatatype="20" unbalanced="0"/>
    <cacheHierarchy uniqueName="[mmmm].[Start Date (Year)]" caption="Start Date (Year)" attribute="1" defaultMemberUniqueName="[mmmm].[Start Date (Year)].[All]" allUniqueName="[mmmm].[Start Date (Year)].[All]" dimensionUniqueName="[mmmm]" displayFolder="" count="2" memberValueDatatype="130" unbalanced="0"/>
    <cacheHierarchy uniqueName="[mmmm].[Start Date (Quarter)]" caption="Start Date (Quarter)" attribute="1" defaultMemberUniqueName="[mmmm].[Start Date (Quarter)].[All]" allUniqueName="[mmmm].[Start Date (Quarter)].[All]" dimensionUniqueName="[mmmm]" displayFolder="" count="2" memberValueDatatype="130" unbalanced="0"/>
    <cacheHierarchy uniqueName="[mmmm].[Start Date (Month)]" caption="Start Date (Month)" attribute="1" defaultMemberUniqueName="[mmmm].[Start Date (Month)].[All]" allUniqueName="[mmmm].[Start Date (Month)].[All]" dimensionUniqueName="[mmmm]" displayFolder="" count="2" memberValueDatatype="130" unbalanced="0"/>
    <cacheHierarchy uniqueName="[mmmm].[Start Date (Month Index)]" caption="Start Date (Month Index)" attribute="1" defaultMemberUniqueName="[mmmm].[Start Date (Month Index)].[All]" allUniqueName="[mmmm].[Start Date (Month Index)].[All]" dimensionUniqueName="[mmmm]" displayFolder="" count="2" memberValueDatatype="20" unbalanced="0" hidden="1"/>
    <cacheHierarchy uniqueName="[Measures].[__XL_Count mmmm]" caption="__XL_Count mmmm" measure="1" displayFolder="" measureGroup="mmmm" count="0" hidden="1"/>
    <cacheHierarchy uniqueName="[Measures].[__No measures defined]" caption="__No measures defined" measure="1" displayFolder="" count="0" hidden="1"/>
    <cacheHierarchy uniqueName="[Measures].[Sum of ID]" caption="Sum of ID" measure="1" displayFolder="" measureGroup="mmmm"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ID]" caption="Count of ID" measure="1" displayFolder="" measureGroup="mmmm"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mmmm"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mmmm"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mmmm" count="0" hidden="1">
      <extLst>
        <ext xmlns:x15="http://schemas.microsoft.com/office/spreadsheetml/2010/11/main" uri="{B97F6D7D-B522-45F9-BDA1-12C45D357490}">
          <x15:cacheHierarchy aggregatedColumn="10"/>
        </ext>
      </extLst>
    </cacheHierarchy>
    <cacheHierarchy uniqueName="[Measures].[Sum of Unpaid Leaves]" caption="Sum of Unpaid Leaves" measure="1" displayFolder="" measureGroup="mmmm"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mmmm"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mmmm" count="0" hidden="1">
      <extLst>
        <ext xmlns:x15="http://schemas.microsoft.com/office/spreadsheetml/2010/11/main" uri="{B97F6D7D-B522-45F9-BDA1-12C45D357490}">
          <x15:cacheHierarchy aggregatedColumn="15"/>
        </ext>
      </extLst>
    </cacheHierarchy>
    <cacheHierarchy uniqueName="[Measures].[Sum of Annual Salary]" caption="Sum of Annual Salary" measure="1" displayFolder="" measureGroup="mmmm" count="0" hidden="1">
      <extLst>
        <ext xmlns:x15="http://schemas.microsoft.com/office/spreadsheetml/2010/11/main" uri="{B97F6D7D-B522-45F9-BDA1-12C45D357490}">
          <x15:cacheHierarchy aggregatedColumn="11"/>
        </ext>
      </extLst>
    </cacheHierarchy>
    <cacheHierarchy uniqueName="[Measures].[Average of Annual Salary]" caption="Average of Annual Salary" measure="1" displayFolder="" measureGroup="mmmm"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mmmm" count="0" hidden="1">
      <extLst>
        <ext xmlns:x15="http://schemas.microsoft.com/office/spreadsheetml/2010/11/main" uri="{B97F6D7D-B522-45F9-BDA1-12C45D357490}">
          <x15:cacheHierarchy aggregatedColumn="12"/>
        </ext>
      </extLst>
    </cacheHierarchy>
    <cacheHierarchy uniqueName="[Measures].[Sum of Years]" caption="Sum of Years" measure="1" displayFolder="" measureGroup="mmmm" count="0" hidden="1">
      <extLst>
        <ext xmlns:x15="http://schemas.microsoft.com/office/spreadsheetml/2010/11/main" uri="{B97F6D7D-B522-45F9-BDA1-12C45D357490}">
          <x15:cacheHierarchy aggregatedColumn="6"/>
        </ext>
      </extLst>
    </cacheHierarchy>
    <cacheHierarchy uniqueName="[Measures].[Average of Sick Leaves]" caption="Average of Sick Leaves" measure="1" displayFolder="" measureGroup="mmmm"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mmmm" count="0" hidden="1">
      <extLst>
        <ext xmlns:x15="http://schemas.microsoft.com/office/spreadsheetml/2010/11/main" uri="{B97F6D7D-B522-45F9-BDA1-12C45D357490}">
          <x15:cacheHierarchy aggregatedColumn="14"/>
        </ext>
      </extLst>
    </cacheHierarchy>
    <cacheHierarchy uniqueName="[Measures].[Average of Job Rate]" caption="Average of Job Rate" measure="1" displayFolder="" measureGroup="mmmm" count="0" hidden="1">
      <extLst>
        <ext xmlns:x15="http://schemas.microsoft.com/office/spreadsheetml/2010/11/main" uri="{B97F6D7D-B522-45F9-BDA1-12C45D357490}">
          <x15:cacheHierarchy aggregatedColumn="12"/>
        </ext>
      </extLst>
    </cacheHierarchy>
    <cacheHierarchy uniqueName="[Measures].[Average of Years]" caption="Average of Years" measure="1" displayFolder="" measureGroup="mmmm" count="0" hidden="1">
      <extLst>
        <ext xmlns:x15="http://schemas.microsoft.com/office/spreadsheetml/2010/11/main" uri="{B97F6D7D-B522-45F9-BDA1-12C45D357490}">
          <x15:cacheHierarchy aggregatedColumn="6"/>
        </ext>
      </extLst>
    </cacheHierarchy>
    <cacheHierarchy uniqueName="[Measures].[Average of ID]" caption="Average of ID" measure="1" displayFolder="" measureGroup="mmmm"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mmm" uniqueName="[mmmm]" caption="mmmm"/>
  </dimensions>
  <measureGroups count="1">
    <measureGroup name="mmmm" caption="mmmm"/>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353684374997" backgroundQuery="1" createdVersion="8" refreshedVersion="8" minRefreshableVersion="3" recordCount="0" supportSubquery="1" supportAdvancedDrill="1" xr:uid="{DE8D6D06-0CE3-4945-B45E-4295159C0B86}">
  <cacheSource type="external" connectionId="2"/>
  <cacheFields count="2">
    <cacheField name="[mmmm].[Department].[Department]" caption="Department" numFmtId="0" hierarchy="7" level="1">
      <sharedItems count="5">
        <s v="Account Management"/>
        <s v="Facilities/Engineering"/>
        <s v="Manufacturing"/>
        <s v="Quality Assurance"/>
        <s v="Quality Control"/>
      </sharedItems>
    </cacheField>
    <cacheField name="[Measures].[Distinct Count of ID]" caption="Distinct Count of ID" numFmtId="0" hierarchy="24" level="32767"/>
  </cacheFields>
  <cacheHierarchies count="39">
    <cacheHierarchy uniqueName="[mmmm].[ID]" caption="ID" attribute="1" defaultMemberUniqueName="[mmmm].[ID].[All]" allUniqueName="[mmmm].[ID].[All]" dimensionUniqueName="[mmmm]" displayFolder="" count="2" memberValueDatatype="20" unbalanced="0"/>
    <cacheHierarchy uniqueName="[mmmm].[First Name]" caption="First Name" attribute="1" defaultMemberUniqueName="[mmmm].[First Name].[All]" allUniqueName="[mmmm].[First Name].[All]" dimensionUniqueName="[mmmm]" displayFolder="" count="0" memberValueDatatype="130" unbalanced="0"/>
    <cacheHierarchy uniqueName="[mmmm].[Last Name]" caption="Last Name" attribute="1" defaultMemberUniqueName="[mmmm].[Last Name].[All]" allUniqueName="[mmmm].[Last Name].[All]" dimensionUniqueName="[mmmm]" displayFolder="" count="0" memberValueDatatype="130" unbalanced="0"/>
    <cacheHierarchy uniqueName="[mmmm].[Empolyee name]" caption="Empolyee name" attribute="1" defaultMemberUniqueName="[mmmm].[Empolyee name].[All]" allUniqueName="[mmmm].[Empolyee name].[All]" dimensionUniqueName="[mmmm]" displayFolder="" count="0" memberValueDatatype="130" unbalanced="0"/>
    <cacheHierarchy uniqueName="[mmmm].[Gender]" caption="Gender" attribute="1" defaultMemberUniqueName="[mmmm].[Gender].[All]" allUniqueName="[mmmm].[Gender].[All]" dimensionUniqueName="[mmmm]" displayFolder="" count="0" memberValueDatatype="130" unbalanced="0"/>
    <cacheHierarchy uniqueName="[mmmm].[Start Date]" caption="Start Date" attribute="1" time="1" defaultMemberUniqueName="[mmmm].[Start Date].[All]" allUniqueName="[mmmm].[Start Date].[All]" dimensionUniqueName="[mmmm]" displayFolder="" count="0" memberValueDatatype="7" unbalanced="0"/>
    <cacheHierarchy uniqueName="[mmmm].[Years]" caption="Years" attribute="1" defaultMemberUniqueName="[mmmm].[Years].[All]" allUniqueName="[mmmm].[Years].[All]" dimensionUniqueName="[mmmm]" displayFolder="" count="0" memberValueDatatype="20" unbalanced="0"/>
    <cacheHierarchy uniqueName="[mmmm].[Department]" caption="Department" attribute="1" defaultMemberUniqueName="[mmmm].[Department].[All]" allUniqueName="[mmmm].[Department].[All]" dimensionUniqueName="[mmmm]" displayFolder="" count="2" memberValueDatatype="130" unbalanced="0">
      <fieldsUsage count="2">
        <fieldUsage x="-1"/>
        <fieldUsage x="0"/>
      </fieldsUsage>
    </cacheHierarchy>
    <cacheHierarchy uniqueName="[mmmm].[Country]" caption="Country" attribute="1" defaultMemberUniqueName="[mmmm].[Country].[All]" allUniqueName="[mmmm].[Country].[All]" dimensionUniqueName="[mmmm]" displayFolder="" count="2" memberValueDatatype="130" unbalanced="0"/>
    <cacheHierarchy uniqueName="[mmmm].[Center]" caption="Center" attribute="1" defaultMemberUniqueName="[mmmm].[Center].[All]" allUniqueName="[mmmm].[Center].[All]" dimensionUniqueName="[mmmm]" displayFolder="" count="0" memberValueDatatype="130" unbalanced="0"/>
    <cacheHierarchy uniqueName="[mmmm].[Monthly Salary]" caption="Monthly Salary" attribute="1" defaultMemberUniqueName="[mmmm].[Monthly Salary].[All]" allUniqueName="[mmmm].[Monthly Salary].[All]" dimensionUniqueName="[mmmm]" displayFolder="" count="0" memberValueDatatype="20" unbalanced="0"/>
    <cacheHierarchy uniqueName="[mmmm].[Annual Salary]" caption="Annual Salary" attribute="1" defaultMemberUniqueName="[mmmm].[Annual Salary].[All]" allUniqueName="[mmmm].[Annual Salary].[All]" dimensionUniqueName="[mmmm]" displayFolder="" count="0" memberValueDatatype="20" unbalanced="0"/>
    <cacheHierarchy uniqueName="[mmmm].[Job Rate]" caption="Job Rate" attribute="1" defaultMemberUniqueName="[mmmm].[Job Rate].[All]" allUniqueName="[mmmm].[Job Rate].[All]" dimensionUniqueName="[mmmm]" displayFolder="" count="0" memberValueDatatype="5" unbalanced="0"/>
    <cacheHierarchy uniqueName="[mmmm].[Sick Leaves]" caption="Sick Leaves" attribute="1" defaultMemberUniqueName="[mmmm].[Sick Leaves].[All]" allUniqueName="[mmmm].[Sick Leaves].[All]" dimensionUniqueName="[mmmm]" displayFolder="" count="0" memberValueDatatype="20" unbalanced="0"/>
    <cacheHierarchy uniqueName="[mmmm].[Unpaid Leaves]" caption="Unpaid Leaves" attribute="1" defaultMemberUniqueName="[mmmm].[Unpaid Leaves].[All]" allUniqueName="[mmmm].[Unpaid Leaves].[All]" dimensionUniqueName="[mmmm]" displayFolder="" count="0" memberValueDatatype="20" unbalanced="0"/>
    <cacheHierarchy uniqueName="[mmmm].[Overtime Hours]" caption="Overtime Hours" attribute="1" defaultMemberUniqueName="[mmmm].[Overtime Hours].[All]" allUniqueName="[mmmm].[Overtime Hours].[All]" dimensionUniqueName="[mmmm]" displayFolder="" count="0" memberValueDatatype="20" unbalanced="0"/>
    <cacheHierarchy uniqueName="[mmmm].[Start Date (Year)]" caption="Start Date (Year)" attribute="1" defaultMemberUniqueName="[mmmm].[Start Date (Year)].[All]" allUniqueName="[mmmm].[Start Date (Year)].[All]" dimensionUniqueName="[mmmm]" displayFolder="" count="0" memberValueDatatype="130" unbalanced="0"/>
    <cacheHierarchy uniqueName="[mmmm].[Start Date (Quarter)]" caption="Start Date (Quarter)" attribute="1" defaultMemberUniqueName="[mmmm].[Start Date (Quarter)].[All]" allUniqueName="[mmmm].[Start Date (Quarter)].[All]" dimensionUniqueName="[mmmm]" displayFolder="" count="0" memberValueDatatype="130" unbalanced="0"/>
    <cacheHierarchy uniqueName="[mmmm].[Start Date (Month)]" caption="Start Date (Month)" attribute="1" defaultMemberUniqueName="[mmmm].[Start Date (Month)].[All]" allUniqueName="[mmmm].[Start Date (Month)].[All]" dimensionUniqueName="[mmmm]" displayFolder="" count="0" memberValueDatatype="130" unbalanced="0"/>
    <cacheHierarchy uniqueName="[mmmm].[Start Date (Month Index)]" caption="Start Date (Month Index)" attribute="1" defaultMemberUniqueName="[mmmm].[Start Date (Month Index)].[All]" allUniqueName="[mmmm].[Start Date (Month Index)].[All]" dimensionUniqueName="[mmmm]" displayFolder="" count="0" memberValueDatatype="20" unbalanced="0" hidden="1"/>
    <cacheHierarchy uniqueName="[Measures].[__XL_Count mmmm]" caption="__XL_Count mmmm" measure="1" displayFolder="" measureGroup="mmmm" count="0" hidden="1"/>
    <cacheHierarchy uniqueName="[Measures].[__No measures defined]" caption="__No measures defined" measure="1" displayFolder="" count="0" hidden="1"/>
    <cacheHierarchy uniqueName="[Measures].[Sum of ID]" caption="Sum of ID" measure="1" displayFolder="" measureGroup="mmmm"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mmmm"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mmmm"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mmmm"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mmmm" count="0" hidden="1">
      <extLst>
        <ext xmlns:x15="http://schemas.microsoft.com/office/spreadsheetml/2010/11/main" uri="{B97F6D7D-B522-45F9-BDA1-12C45D357490}">
          <x15:cacheHierarchy aggregatedColumn="10"/>
        </ext>
      </extLst>
    </cacheHierarchy>
    <cacheHierarchy uniqueName="[Measures].[Sum of Unpaid Leaves]" caption="Sum of Unpaid Leaves" measure="1" displayFolder="" measureGroup="mmmm"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mmmm"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mmmm" count="0" hidden="1">
      <extLst>
        <ext xmlns:x15="http://schemas.microsoft.com/office/spreadsheetml/2010/11/main" uri="{B97F6D7D-B522-45F9-BDA1-12C45D357490}">
          <x15:cacheHierarchy aggregatedColumn="15"/>
        </ext>
      </extLst>
    </cacheHierarchy>
    <cacheHierarchy uniqueName="[Measures].[Sum of Annual Salary]" caption="Sum of Annual Salary" measure="1" displayFolder="" measureGroup="mmmm" count="0" hidden="1">
      <extLst>
        <ext xmlns:x15="http://schemas.microsoft.com/office/spreadsheetml/2010/11/main" uri="{B97F6D7D-B522-45F9-BDA1-12C45D357490}">
          <x15:cacheHierarchy aggregatedColumn="11"/>
        </ext>
      </extLst>
    </cacheHierarchy>
    <cacheHierarchy uniqueName="[Measures].[Average of Annual Salary]" caption="Average of Annual Salary" measure="1" displayFolder="" measureGroup="mmmm"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mmmm" count="0" hidden="1">
      <extLst>
        <ext xmlns:x15="http://schemas.microsoft.com/office/spreadsheetml/2010/11/main" uri="{B97F6D7D-B522-45F9-BDA1-12C45D357490}">
          <x15:cacheHierarchy aggregatedColumn="12"/>
        </ext>
      </extLst>
    </cacheHierarchy>
    <cacheHierarchy uniqueName="[Measures].[Sum of Years]" caption="Sum of Years" measure="1" displayFolder="" measureGroup="mmmm" count="0" hidden="1">
      <extLst>
        <ext xmlns:x15="http://schemas.microsoft.com/office/spreadsheetml/2010/11/main" uri="{B97F6D7D-B522-45F9-BDA1-12C45D357490}">
          <x15:cacheHierarchy aggregatedColumn="6"/>
        </ext>
      </extLst>
    </cacheHierarchy>
    <cacheHierarchy uniqueName="[Measures].[Average of Sick Leaves]" caption="Average of Sick Leaves" measure="1" displayFolder="" measureGroup="mmmm"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mmmm" count="0" hidden="1">
      <extLst>
        <ext xmlns:x15="http://schemas.microsoft.com/office/spreadsheetml/2010/11/main" uri="{B97F6D7D-B522-45F9-BDA1-12C45D357490}">
          <x15:cacheHierarchy aggregatedColumn="14"/>
        </ext>
      </extLst>
    </cacheHierarchy>
    <cacheHierarchy uniqueName="[Measures].[Average of Job Rate]" caption="Average of Job Rate" measure="1" displayFolder="" measureGroup="mmmm" count="0" hidden="1">
      <extLst>
        <ext xmlns:x15="http://schemas.microsoft.com/office/spreadsheetml/2010/11/main" uri="{B97F6D7D-B522-45F9-BDA1-12C45D357490}">
          <x15:cacheHierarchy aggregatedColumn="12"/>
        </ext>
      </extLst>
    </cacheHierarchy>
    <cacheHierarchy uniqueName="[Measures].[Average of Years]" caption="Average of Years" measure="1" displayFolder="" measureGroup="mmmm" count="0" hidden="1">
      <extLst>
        <ext xmlns:x15="http://schemas.microsoft.com/office/spreadsheetml/2010/11/main" uri="{B97F6D7D-B522-45F9-BDA1-12C45D357490}">
          <x15:cacheHierarchy aggregatedColumn="6"/>
        </ext>
      </extLst>
    </cacheHierarchy>
    <cacheHierarchy uniqueName="[Measures].[Average of ID]" caption="Average of ID" measure="1" displayFolder="" measureGroup="mmmm"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mmmm" uniqueName="[mmmm]" caption="mmmm"/>
  </dimensions>
  <measureGroups count="1">
    <measureGroup name="mmmm" caption="mmmm"/>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4.89434953704" backgroundQuery="1" createdVersion="3" refreshedVersion="8" minRefreshableVersion="3" recordCount="0" supportSubquery="1" supportAdvancedDrill="1" xr:uid="{3E601C2E-0945-4A17-9C3B-DDD5112E886F}">
  <cacheSource type="external" connectionId="2">
    <extLst>
      <ext xmlns:x14="http://schemas.microsoft.com/office/spreadsheetml/2009/9/main" uri="{F057638F-6D5F-4e77-A914-E7F072B9BCA8}">
        <x14:sourceConnection name="ThisWorkbookDataModel"/>
      </ext>
    </extLst>
  </cacheSource>
  <cacheFields count="0"/>
  <cacheHierarchies count="39">
    <cacheHierarchy uniqueName="[mmmm].[ID]" caption="ID" attribute="1" defaultMemberUniqueName="[mmmm].[ID].[All]" allUniqueName="[mmmm].[ID].[All]" dimensionUniqueName="[mmmm]" displayFolder="" count="0" memberValueDatatype="20" unbalanced="0"/>
    <cacheHierarchy uniqueName="[mmmm].[First Name]" caption="First Name" attribute="1" defaultMemberUniqueName="[mmmm].[First Name].[All]" allUniqueName="[mmmm].[First Name].[All]" dimensionUniqueName="[mmmm]" displayFolder="" count="0" memberValueDatatype="130" unbalanced="0"/>
    <cacheHierarchy uniqueName="[mmmm].[Last Name]" caption="Last Name" attribute="1" defaultMemberUniqueName="[mmmm].[Last Name].[All]" allUniqueName="[mmmm].[Last Name].[All]" dimensionUniqueName="[mmmm]" displayFolder="" count="0" memberValueDatatype="130" unbalanced="0"/>
    <cacheHierarchy uniqueName="[mmmm].[Empolyee name]" caption="Empolyee name" attribute="1" defaultMemberUniqueName="[mmmm].[Empolyee name].[All]" allUniqueName="[mmmm].[Empolyee name].[All]" dimensionUniqueName="[mmmm]" displayFolder="" count="0" memberValueDatatype="130" unbalanced="0"/>
    <cacheHierarchy uniqueName="[mmmm].[Gender]" caption="Gender" attribute="1" defaultMemberUniqueName="[mmmm].[Gender].[All]" allUniqueName="[mmmm].[Gender].[All]" dimensionUniqueName="[mmmm]" displayFolder="" count="0" memberValueDatatype="130" unbalanced="0"/>
    <cacheHierarchy uniqueName="[mmmm].[Start Date]" caption="Start Date" attribute="1" time="1" defaultMemberUniqueName="[mmmm].[Start Date].[All]" allUniqueName="[mmmm].[Start Date].[All]" dimensionUniqueName="[mmmm]" displayFolder="" count="0" memberValueDatatype="7" unbalanced="0"/>
    <cacheHierarchy uniqueName="[mmmm].[Years]" caption="Years" attribute="1" defaultMemberUniqueName="[mmmm].[Years].[All]" allUniqueName="[mmmm].[Years].[All]" dimensionUniqueName="[mmmm]" displayFolder="" count="0" memberValueDatatype="20" unbalanced="0"/>
    <cacheHierarchy uniqueName="[mmmm].[Department]" caption="Department" attribute="1" defaultMemberUniqueName="[mmmm].[Department].[All]" allUniqueName="[mmmm].[Department].[All]" dimensionUniqueName="[mmmm]" displayFolder="" count="2" memberValueDatatype="130" unbalanced="0"/>
    <cacheHierarchy uniqueName="[mmmm].[Country]" caption="Country" attribute="1" defaultMemberUniqueName="[mmmm].[Country].[All]" allUniqueName="[mmmm].[Country].[All]" dimensionUniqueName="[mmmm]" displayFolder="" count="2" memberValueDatatype="130" unbalanced="0"/>
    <cacheHierarchy uniqueName="[mmmm].[Center]" caption="Center" attribute="1" defaultMemberUniqueName="[mmmm].[Center].[All]" allUniqueName="[mmmm].[Center].[All]" dimensionUniqueName="[mmmm]" displayFolder="" count="0" memberValueDatatype="130" unbalanced="0"/>
    <cacheHierarchy uniqueName="[mmmm].[Monthly Salary]" caption="Monthly Salary" attribute="1" defaultMemberUniqueName="[mmmm].[Monthly Salary].[All]" allUniqueName="[mmmm].[Monthly Salary].[All]" dimensionUniqueName="[mmmm]" displayFolder="" count="0" memberValueDatatype="20" unbalanced="0"/>
    <cacheHierarchy uniqueName="[mmmm].[Annual Salary]" caption="Annual Salary" attribute="1" defaultMemberUniqueName="[mmmm].[Annual Salary].[All]" allUniqueName="[mmmm].[Annual Salary].[All]" dimensionUniqueName="[mmmm]" displayFolder="" count="0" memberValueDatatype="20" unbalanced="0"/>
    <cacheHierarchy uniqueName="[mmmm].[Job Rate]" caption="Job Rate" attribute="1" defaultMemberUniqueName="[mmmm].[Job Rate].[All]" allUniqueName="[mmmm].[Job Rate].[All]" dimensionUniqueName="[mmmm]" displayFolder="" count="0" memberValueDatatype="5" unbalanced="0"/>
    <cacheHierarchy uniqueName="[mmmm].[Sick Leaves]" caption="Sick Leaves" attribute="1" defaultMemberUniqueName="[mmmm].[Sick Leaves].[All]" allUniqueName="[mmmm].[Sick Leaves].[All]" dimensionUniqueName="[mmmm]" displayFolder="" count="0" memberValueDatatype="20" unbalanced="0"/>
    <cacheHierarchy uniqueName="[mmmm].[Unpaid Leaves]" caption="Unpaid Leaves" attribute="1" defaultMemberUniqueName="[mmmm].[Unpaid Leaves].[All]" allUniqueName="[mmmm].[Unpaid Leaves].[All]" dimensionUniqueName="[mmmm]" displayFolder="" count="0" memberValueDatatype="20" unbalanced="0"/>
    <cacheHierarchy uniqueName="[mmmm].[Overtime Hours]" caption="Overtime Hours" attribute="1" defaultMemberUniqueName="[mmmm].[Overtime Hours].[All]" allUniqueName="[mmmm].[Overtime Hours].[All]" dimensionUniqueName="[mmmm]" displayFolder="" count="0" memberValueDatatype="20" unbalanced="0"/>
    <cacheHierarchy uniqueName="[mmmm].[Start Date (Year)]" caption="Start Date (Year)" attribute="1" defaultMemberUniqueName="[mmmm].[Start Date (Year)].[All]" allUniqueName="[mmmm].[Start Date (Year)].[All]" dimensionUniqueName="[mmmm]" displayFolder="" count="0" memberValueDatatype="130" unbalanced="0"/>
    <cacheHierarchy uniqueName="[mmmm].[Start Date (Quarter)]" caption="Start Date (Quarter)" attribute="1" defaultMemberUniqueName="[mmmm].[Start Date (Quarter)].[All]" allUniqueName="[mmmm].[Start Date (Quarter)].[All]" dimensionUniqueName="[mmmm]" displayFolder="" count="0" memberValueDatatype="130" unbalanced="0"/>
    <cacheHierarchy uniqueName="[mmmm].[Start Date (Month)]" caption="Start Date (Month)" attribute="1" defaultMemberUniqueName="[mmmm].[Start Date (Month)].[All]" allUniqueName="[mmmm].[Start Date (Month)].[All]" dimensionUniqueName="[mmmm]" displayFolder="" count="0" memberValueDatatype="130" unbalanced="0"/>
    <cacheHierarchy uniqueName="[mmmm].[Start Date (Month Index)]" caption="Start Date (Month Index)" attribute="1" defaultMemberUniqueName="[mmmm].[Start Date (Month Index)].[All]" allUniqueName="[mmmm].[Start Date (Month Index)].[All]" dimensionUniqueName="[mmmm]" displayFolder="" count="0" memberValueDatatype="20" unbalanced="0" hidden="1"/>
    <cacheHierarchy uniqueName="[Measures].[__XL_Count mmmm]" caption="__XL_Count mmmm" measure="1" displayFolder="" measureGroup="mmmm" count="0" hidden="1"/>
    <cacheHierarchy uniqueName="[Measures].[__No measures defined]" caption="__No measures defined" measure="1" displayFolder="" count="0" hidden="1"/>
    <cacheHierarchy uniqueName="[Measures].[Sum of ID]" caption="Sum of ID" measure="1" displayFolder="" measureGroup="mmmm"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mmmm"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mmmm"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mmmm"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mmmm" count="0" hidden="1">
      <extLst>
        <ext xmlns:x15="http://schemas.microsoft.com/office/spreadsheetml/2010/11/main" uri="{B97F6D7D-B522-45F9-BDA1-12C45D357490}">
          <x15:cacheHierarchy aggregatedColumn="10"/>
        </ext>
      </extLst>
    </cacheHierarchy>
    <cacheHierarchy uniqueName="[Measures].[Sum of Unpaid Leaves]" caption="Sum of Unpaid Leaves" measure="1" displayFolder="" measureGroup="mmmm"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mmmm"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mmmm" count="0" hidden="1">
      <extLst>
        <ext xmlns:x15="http://schemas.microsoft.com/office/spreadsheetml/2010/11/main" uri="{B97F6D7D-B522-45F9-BDA1-12C45D357490}">
          <x15:cacheHierarchy aggregatedColumn="15"/>
        </ext>
      </extLst>
    </cacheHierarchy>
    <cacheHierarchy uniqueName="[Measures].[Sum of Annual Salary]" caption="Sum of Annual Salary" measure="1" displayFolder="" measureGroup="mmmm" count="0" hidden="1">
      <extLst>
        <ext xmlns:x15="http://schemas.microsoft.com/office/spreadsheetml/2010/11/main" uri="{B97F6D7D-B522-45F9-BDA1-12C45D357490}">
          <x15:cacheHierarchy aggregatedColumn="11"/>
        </ext>
      </extLst>
    </cacheHierarchy>
    <cacheHierarchy uniqueName="[Measures].[Average of Annual Salary]" caption="Average of Annual Salary" measure="1" displayFolder="" measureGroup="mmmm"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mmmm" count="0" hidden="1">
      <extLst>
        <ext xmlns:x15="http://schemas.microsoft.com/office/spreadsheetml/2010/11/main" uri="{B97F6D7D-B522-45F9-BDA1-12C45D357490}">
          <x15:cacheHierarchy aggregatedColumn="12"/>
        </ext>
      </extLst>
    </cacheHierarchy>
    <cacheHierarchy uniqueName="[Measures].[Sum of Years]" caption="Sum of Years" measure="1" displayFolder="" measureGroup="mmmm" count="0" hidden="1">
      <extLst>
        <ext xmlns:x15="http://schemas.microsoft.com/office/spreadsheetml/2010/11/main" uri="{B97F6D7D-B522-45F9-BDA1-12C45D357490}">
          <x15:cacheHierarchy aggregatedColumn="6"/>
        </ext>
      </extLst>
    </cacheHierarchy>
    <cacheHierarchy uniqueName="[Measures].[Average of Sick Leaves]" caption="Average of Sick Leaves" measure="1" displayFolder="" measureGroup="mmmm"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mmmm" count="0" hidden="1">
      <extLst>
        <ext xmlns:x15="http://schemas.microsoft.com/office/spreadsheetml/2010/11/main" uri="{B97F6D7D-B522-45F9-BDA1-12C45D357490}">
          <x15:cacheHierarchy aggregatedColumn="14"/>
        </ext>
      </extLst>
    </cacheHierarchy>
    <cacheHierarchy uniqueName="[Measures].[Average of Job Rate]" caption="Average of Job Rate" measure="1" displayFolder="" measureGroup="mmmm" count="0" hidden="1">
      <extLst>
        <ext xmlns:x15="http://schemas.microsoft.com/office/spreadsheetml/2010/11/main" uri="{B97F6D7D-B522-45F9-BDA1-12C45D357490}">
          <x15:cacheHierarchy aggregatedColumn="12"/>
        </ext>
      </extLst>
    </cacheHierarchy>
    <cacheHierarchy uniqueName="[Measures].[Average of Years]" caption="Average of Years" measure="1" displayFolder="" measureGroup="mmmm" count="0" hidden="1">
      <extLst>
        <ext xmlns:x15="http://schemas.microsoft.com/office/spreadsheetml/2010/11/main" uri="{B97F6D7D-B522-45F9-BDA1-12C45D357490}">
          <x15:cacheHierarchy aggregatedColumn="6"/>
        </ext>
      </extLst>
    </cacheHierarchy>
    <cacheHierarchy uniqueName="[Measures].[Average of ID]" caption="Average of ID" measure="1" displayFolder="" measureGroup="mmmm"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304109923"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4.897362731484" backgroundQuery="1" createdVersion="3" refreshedVersion="8" minRefreshableVersion="3" recordCount="0" supportSubquery="1" supportAdvancedDrill="1" xr:uid="{F1D5DF71-0D8F-490C-BFBE-5F9255C7B026}">
  <cacheSource type="external" connectionId="2">
    <extLst>
      <ext xmlns:x14="http://schemas.microsoft.com/office/spreadsheetml/2009/9/main" uri="{F057638F-6D5F-4e77-A914-E7F072B9BCA8}">
        <x14:sourceConnection name="ThisWorkbookDataModel"/>
      </ext>
    </extLst>
  </cacheSource>
  <cacheFields count="0"/>
  <cacheHierarchies count="39">
    <cacheHierarchy uniqueName="[mmmm].[ID]" caption="ID" attribute="1" defaultMemberUniqueName="[mmmm].[ID].[All]" allUniqueName="[mmmm].[ID].[All]" dimensionUniqueName="[mmmm]" displayFolder="" count="2" memberValueDatatype="20" unbalanced="0"/>
    <cacheHierarchy uniqueName="[mmmm].[First Name]" caption="First Name" attribute="1" defaultMemberUniqueName="[mmmm].[First Name].[All]" allUniqueName="[mmmm].[First Name].[All]" dimensionUniqueName="[mmmm]" displayFolder="" count="0" memberValueDatatype="130" unbalanced="0"/>
    <cacheHierarchy uniqueName="[mmmm].[Last Name]" caption="Last Name" attribute="1" defaultMemberUniqueName="[mmmm].[Last Name].[All]" allUniqueName="[mmmm].[Last Name].[All]" dimensionUniqueName="[mmmm]" displayFolder="" count="0" memberValueDatatype="130" unbalanced="0"/>
    <cacheHierarchy uniqueName="[mmmm].[Empolyee name]" caption="Empolyee name" attribute="1" defaultMemberUniqueName="[mmmm].[Empolyee name].[All]" allUniqueName="[mmmm].[Empolyee name].[All]" dimensionUniqueName="[mmmm]" displayFolder="" count="0" memberValueDatatype="130" unbalanced="0"/>
    <cacheHierarchy uniqueName="[mmmm].[Gender]" caption="Gender" attribute="1" defaultMemberUniqueName="[mmmm].[Gender].[All]" allUniqueName="[mmmm].[Gender].[All]" dimensionUniqueName="[mmmm]" displayFolder="" count="0" memberValueDatatype="130" unbalanced="0"/>
    <cacheHierarchy uniqueName="[mmmm].[Start Date]" caption="Start Date" attribute="1" time="1" defaultMemberUniqueName="[mmmm].[Start Date].[All]" allUniqueName="[mmmm].[Start Date].[All]" dimensionUniqueName="[mmmm]" displayFolder="" count="0" memberValueDatatype="7" unbalanced="0"/>
    <cacheHierarchy uniqueName="[mmmm].[Years]" caption="Years" attribute="1" defaultMemberUniqueName="[mmmm].[Years].[All]" allUniqueName="[mmmm].[Years].[All]" dimensionUniqueName="[mmmm]" displayFolder="" count="0" memberValueDatatype="20" unbalanced="0"/>
    <cacheHierarchy uniqueName="[mmmm].[Department]" caption="Department" attribute="1" defaultMemberUniqueName="[mmmm].[Department].[All]" allUniqueName="[mmmm].[Department].[All]" dimensionUniqueName="[mmmm]" displayFolder="" count="0" memberValueDatatype="130" unbalanced="0"/>
    <cacheHierarchy uniqueName="[mmmm].[Country]" caption="Country" attribute="1" defaultMemberUniqueName="[mmmm].[Country].[All]" allUniqueName="[mmmm].[Country].[All]" dimensionUniqueName="[mmmm]" displayFolder="" count="0" memberValueDatatype="130" unbalanced="0"/>
    <cacheHierarchy uniqueName="[mmmm].[Center]" caption="Center" attribute="1" defaultMemberUniqueName="[mmmm].[Center].[All]" allUniqueName="[mmmm].[Center].[All]" dimensionUniqueName="[mmmm]" displayFolder="" count="0" memberValueDatatype="130" unbalanced="0"/>
    <cacheHierarchy uniqueName="[mmmm].[Monthly Salary]" caption="Monthly Salary" attribute="1" defaultMemberUniqueName="[mmmm].[Monthly Salary].[All]" allUniqueName="[mmmm].[Monthly Salary].[All]" dimensionUniqueName="[mmmm]" displayFolder="" count="0" memberValueDatatype="20" unbalanced="0"/>
    <cacheHierarchy uniqueName="[mmmm].[Annual Salary]" caption="Annual Salary" attribute="1" defaultMemberUniqueName="[mmmm].[Annual Salary].[All]" allUniqueName="[mmmm].[Annual Salary].[All]" dimensionUniqueName="[mmmm]" displayFolder="" count="0" memberValueDatatype="20" unbalanced="0"/>
    <cacheHierarchy uniqueName="[mmmm].[Job Rate]" caption="Job Rate" attribute="1" defaultMemberUniqueName="[mmmm].[Job Rate].[All]" allUniqueName="[mmmm].[Job Rate].[All]" dimensionUniqueName="[mmmm]" displayFolder="" count="0" memberValueDatatype="5" unbalanced="0"/>
    <cacheHierarchy uniqueName="[mmmm].[Sick Leaves]" caption="Sick Leaves" attribute="1" defaultMemberUniqueName="[mmmm].[Sick Leaves].[All]" allUniqueName="[mmmm].[Sick Leaves].[All]" dimensionUniqueName="[mmmm]" displayFolder="" count="0" memberValueDatatype="20" unbalanced="0"/>
    <cacheHierarchy uniqueName="[mmmm].[Unpaid Leaves]" caption="Unpaid Leaves" attribute="1" defaultMemberUniqueName="[mmmm].[Unpaid Leaves].[All]" allUniqueName="[mmmm].[Unpaid Leaves].[All]" dimensionUniqueName="[mmmm]" displayFolder="" count="0" memberValueDatatype="20" unbalanced="0"/>
    <cacheHierarchy uniqueName="[mmmm].[Overtime Hours]" caption="Overtime Hours" attribute="1" defaultMemberUniqueName="[mmmm].[Overtime Hours].[All]" allUniqueName="[mmmm].[Overtime Hours].[All]" dimensionUniqueName="[mmmm]" displayFolder="" count="0" memberValueDatatype="20" unbalanced="0"/>
    <cacheHierarchy uniqueName="[mmmm].[Start Date (Year)]" caption="Start Date (Year)" attribute="1" defaultMemberUniqueName="[mmmm].[Start Date (Year)].[All]" allUniqueName="[mmmm].[Start Date (Year)].[All]" dimensionUniqueName="[mmmm]" displayFolder="" count="0" memberValueDatatype="130" unbalanced="0"/>
    <cacheHierarchy uniqueName="[mmmm].[Start Date (Quarter)]" caption="Start Date (Quarter)" attribute="1" defaultMemberUniqueName="[mmmm].[Start Date (Quarter)].[All]" allUniqueName="[mmmm].[Start Date (Quarter)].[All]" dimensionUniqueName="[mmmm]" displayFolder="" count="0" memberValueDatatype="130" unbalanced="0"/>
    <cacheHierarchy uniqueName="[mmmm].[Start Date (Month)]" caption="Start Date (Month)" attribute="1" defaultMemberUniqueName="[mmmm].[Start Date (Month)].[All]" allUniqueName="[mmmm].[Start Date (Month)].[All]" dimensionUniqueName="[mmmm]" displayFolder="" count="0" memberValueDatatype="130" unbalanced="0"/>
    <cacheHierarchy uniqueName="[mmmm].[Start Date (Month Index)]" caption="Start Date (Month Index)" attribute="1" defaultMemberUniqueName="[mmmm].[Start Date (Month Index)].[All]" allUniqueName="[mmmm].[Start Date (Month Index)].[All]" dimensionUniqueName="[mmmm]" displayFolder="" count="0" memberValueDatatype="20" unbalanced="0" hidden="1"/>
    <cacheHierarchy uniqueName="[Measures].[__XL_Count mmmm]" caption="__XL_Count mmmm" measure="1" displayFolder="" measureGroup="mmmm" count="0" hidden="1"/>
    <cacheHierarchy uniqueName="[Measures].[__No measures defined]" caption="__No measures defined" measure="1" displayFolder="" count="0" hidden="1"/>
    <cacheHierarchy uniqueName="[Measures].[Sum of ID]" caption="Sum of ID" measure="1" displayFolder="" measureGroup="mmmm"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mmmm" count="0" hidden="1">
      <extLst>
        <ext xmlns:x15="http://schemas.microsoft.com/office/spreadsheetml/2010/11/main" uri="{B97F6D7D-B522-45F9-BDA1-12C45D357490}">
          <x15:cacheHierarchy aggregatedColumn="0"/>
        </ext>
      </extLst>
    </cacheHierarchy>
    <cacheHierarchy uniqueName="[Measures].[Distinct Count of ID]" caption="Distinct Count of ID" measure="1" displayFolder="" measureGroup="mmmm" count="0" hidden="1">
      <extLst>
        <ext xmlns:x15="http://schemas.microsoft.com/office/spreadsheetml/2010/11/main" uri="{B97F6D7D-B522-45F9-BDA1-12C45D357490}">
          <x15:cacheHierarchy aggregatedColumn="0"/>
        </ext>
      </extLst>
    </cacheHierarchy>
    <cacheHierarchy uniqueName="[Measures].[Sum of Monthly Salary]" caption="Sum of Monthly Salary" measure="1" displayFolder="" measureGroup="mmmm" count="0" hidden="1">
      <extLst>
        <ext xmlns:x15="http://schemas.microsoft.com/office/spreadsheetml/2010/11/main" uri="{B97F6D7D-B522-45F9-BDA1-12C45D357490}">
          <x15:cacheHierarchy aggregatedColumn="10"/>
        </ext>
      </extLst>
    </cacheHierarchy>
    <cacheHierarchy uniqueName="[Measures].[Average of Monthly Salary]" caption="Average of Monthly Salary" measure="1" displayFolder="" measureGroup="mmmm" count="0" hidden="1">
      <extLst>
        <ext xmlns:x15="http://schemas.microsoft.com/office/spreadsheetml/2010/11/main" uri="{B97F6D7D-B522-45F9-BDA1-12C45D357490}">
          <x15:cacheHierarchy aggregatedColumn="10"/>
        </ext>
      </extLst>
    </cacheHierarchy>
    <cacheHierarchy uniqueName="[Measures].[Sum of Unpaid Leaves]" caption="Sum of Unpaid Leaves" measure="1" displayFolder="" measureGroup="mmmm" count="0" hidden="1">
      <extLst>
        <ext xmlns:x15="http://schemas.microsoft.com/office/spreadsheetml/2010/11/main" uri="{B97F6D7D-B522-45F9-BDA1-12C45D357490}">
          <x15:cacheHierarchy aggregatedColumn="14"/>
        </ext>
      </extLst>
    </cacheHierarchy>
    <cacheHierarchy uniqueName="[Measures].[Sum of Sick Leaves]" caption="Sum of Sick Leaves" measure="1" displayFolder="" measureGroup="mmmm" count="0" hidden="1">
      <extLst>
        <ext xmlns:x15="http://schemas.microsoft.com/office/spreadsheetml/2010/11/main" uri="{B97F6D7D-B522-45F9-BDA1-12C45D357490}">
          <x15:cacheHierarchy aggregatedColumn="13"/>
        </ext>
      </extLst>
    </cacheHierarchy>
    <cacheHierarchy uniqueName="[Measures].[Sum of Overtime Hours]" caption="Sum of Overtime Hours" measure="1" displayFolder="" measureGroup="mmmm" count="0" hidden="1">
      <extLst>
        <ext xmlns:x15="http://schemas.microsoft.com/office/spreadsheetml/2010/11/main" uri="{B97F6D7D-B522-45F9-BDA1-12C45D357490}">
          <x15:cacheHierarchy aggregatedColumn="15"/>
        </ext>
      </extLst>
    </cacheHierarchy>
    <cacheHierarchy uniqueName="[Measures].[Sum of Annual Salary]" caption="Sum of Annual Salary" measure="1" displayFolder="" measureGroup="mmmm" count="0" hidden="1">
      <extLst>
        <ext xmlns:x15="http://schemas.microsoft.com/office/spreadsheetml/2010/11/main" uri="{B97F6D7D-B522-45F9-BDA1-12C45D357490}">
          <x15:cacheHierarchy aggregatedColumn="11"/>
        </ext>
      </extLst>
    </cacheHierarchy>
    <cacheHierarchy uniqueName="[Measures].[Average of Annual Salary]" caption="Average of Annual Salary" measure="1" displayFolder="" measureGroup="mmmm" count="0" hidden="1">
      <extLst>
        <ext xmlns:x15="http://schemas.microsoft.com/office/spreadsheetml/2010/11/main" uri="{B97F6D7D-B522-45F9-BDA1-12C45D357490}">
          <x15:cacheHierarchy aggregatedColumn="11"/>
        </ext>
      </extLst>
    </cacheHierarchy>
    <cacheHierarchy uniqueName="[Measures].[Sum of Job Rate]" caption="Sum of Job Rate" measure="1" displayFolder="" measureGroup="mmmm" count="0" hidden="1">
      <extLst>
        <ext xmlns:x15="http://schemas.microsoft.com/office/spreadsheetml/2010/11/main" uri="{B97F6D7D-B522-45F9-BDA1-12C45D357490}">
          <x15:cacheHierarchy aggregatedColumn="12"/>
        </ext>
      </extLst>
    </cacheHierarchy>
    <cacheHierarchy uniqueName="[Measures].[Sum of Years]" caption="Sum of Years" measure="1" displayFolder="" measureGroup="mmmm" count="0" hidden="1">
      <extLst>
        <ext xmlns:x15="http://schemas.microsoft.com/office/spreadsheetml/2010/11/main" uri="{B97F6D7D-B522-45F9-BDA1-12C45D357490}">
          <x15:cacheHierarchy aggregatedColumn="6"/>
        </ext>
      </extLst>
    </cacheHierarchy>
    <cacheHierarchy uniqueName="[Measures].[Average of Sick Leaves]" caption="Average of Sick Leaves" measure="1" displayFolder="" measureGroup="mmmm" count="0" hidden="1">
      <extLst>
        <ext xmlns:x15="http://schemas.microsoft.com/office/spreadsheetml/2010/11/main" uri="{B97F6D7D-B522-45F9-BDA1-12C45D357490}">
          <x15:cacheHierarchy aggregatedColumn="13"/>
        </ext>
      </extLst>
    </cacheHierarchy>
    <cacheHierarchy uniqueName="[Measures].[Average of Unpaid Leaves]" caption="Average of Unpaid Leaves" measure="1" displayFolder="" measureGroup="mmmm" count="0" hidden="1">
      <extLst>
        <ext xmlns:x15="http://schemas.microsoft.com/office/spreadsheetml/2010/11/main" uri="{B97F6D7D-B522-45F9-BDA1-12C45D357490}">
          <x15:cacheHierarchy aggregatedColumn="14"/>
        </ext>
      </extLst>
    </cacheHierarchy>
    <cacheHierarchy uniqueName="[Measures].[Average of Job Rate]" caption="Average of Job Rate" measure="1" displayFolder="" measureGroup="mmmm" count="0" hidden="1">
      <extLst>
        <ext xmlns:x15="http://schemas.microsoft.com/office/spreadsheetml/2010/11/main" uri="{B97F6D7D-B522-45F9-BDA1-12C45D357490}">
          <x15:cacheHierarchy aggregatedColumn="12"/>
        </ext>
      </extLst>
    </cacheHierarchy>
    <cacheHierarchy uniqueName="[Measures].[Average of Years]" caption="Average of Years" measure="1" displayFolder="" measureGroup="mmmm" count="0" hidden="1">
      <extLst>
        <ext xmlns:x15="http://schemas.microsoft.com/office/spreadsheetml/2010/11/main" uri="{B97F6D7D-B522-45F9-BDA1-12C45D357490}">
          <x15:cacheHierarchy aggregatedColumn="6"/>
        </ext>
      </extLst>
    </cacheHierarchy>
    <cacheHierarchy uniqueName="[Measures].[Average of ID]" caption="Average of ID" measure="1" displayFolder="" measureGroup="mmmm"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5771815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B65602-8233-4017-A08E-A0D96DFCEBEF}" name="PivotTable18" cacheId="1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747:D1423" firstHeaderRow="1" firstDataRow="1" firstDataCol="1"/>
  <pivotFields count="3">
    <pivotField axis="axisRow" allDrilled="1" subtotalTop="0" showAll="0" dataSourceSort="1" defaultSubtotal="0" defaultAttributeDrillState="1">
      <items count="6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s>
    </pivotField>
    <pivotField dataField="1" subtotalTop="0" showAll="0" defaultSubtotal="0"/>
    <pivotField allDrilled="1" subtotalTop="0" showAll="0" dataSourceSort="1" defaultSubtotal="0" defaultAttributeDrillState="1"/>
  </pivotFields>
  <rowFields count="1">
    <field x="0"/>
  </rowFields>
  <rowItems count="67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t="grand">
      <x/>
    </i>
  </rowItems>
  <colItems count="1">
    <i/>
  </colItems>
  <dataFields count="1">
    <dataField name="Sum of ID" fld="1" baseField="0" baseItem="0"/>
  </dataFields>
  <pivotHierarchies count="39">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 Lession 1.xlsx!mmmm">
        <x15:activeTabTopLevelEntity name="[mmm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61267F-7DC5-4D17-ACCC-BF55ED55EA49}" name="PivotTable13" cacheId="1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1">
  <location ref="M8:N14"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ID" fld="1" baseField="0" baseItem="0"/>
  </dataFields>
  <formats count="2">
    <format dxfId="52">
      <pivotArea grandRow="1" outline="0" collapsedLevelsAreSubtotals="1" fieldPosition="0"/>
    </format>
    <format dxfId="53">
      <pivotArea outline="0" collapsedLevelsAreSubtotals="1" fieldPosition="0"/>
    </format>
  </formats>
  <chartFormats count="12">
    <chartFormat chart="47" format="7" series="1">
      <pivotArea type="data" outline="0" fieldPosition="0">
        <references count="1">
          <reference field="4294967294" count="1" selected="0">
            <x v="0"/>
          </reference>
        </references>
      </pivotArea>
    </chartFormat>
    <chartFormat chart="47" format="8">
      <pivotArea type="data" outline="0" fieldPosition="0">
        <references count="2">
          <reference field="4294967294" count="1" selected="0">
            <x v="0"/>
          </reference>
          <reference field="0" count="1" selected="0">
            <x v="0"/>
          </reference>
        </references>
      </pivotArea>
    </chartFormat>
    <chartFormat chart="47" format="9">
      <pivotArea type="data" outline="0" fieldPosition="0">
        <references count="2">
          <reference field="4294967294" count="1" selected="0">
            <x v="0"/>
          </reference>
          <reference field="0" count="1" selected="0">
            <x v="1"/>
          </reference>
        </references>
      </pivotArea>
    </chartFormat>
    <chartFormat chart="47" format="10">
      <pivotArea type="data" outline="0" fieldPosition="0">
        <references count="2">
          <reference field="4294967294" count="1" selected="0">
            <x v="0"/>
          </reference>
          <reference field="0" count="1" selected="0">
            <x v="2"/>
          </reference>
        </references>
      </pivotArea>
    </chartFormat>
    <chartFormat chart="47" format="11">
      <pivotArea type="data" outline="0" fieldPosition="0">
        <references count="2">
          <reference field="4294967294" count="1" selected="0">
            <x v="0"/>
          </reference>
          <reference field="0" count="1" selected="0">
            <x v="3"/>
          </reference>
        </references>
      </pivotArea>
    </chartFormat>
    <chartFormat chart="47" format="12">
      <pivotArea type="data" outline="0" fieldPosition="0">
        <references count="2">
          <reference field="4294967294" count="1" selected="0">
            <x v="0"/>
          </reference>
          <reference field="0" count="1" selected="0">
            <x v="4"/>
          </reference>
        </references>
      </pivotArea>
    </chartFormat>
    <chartFormat chart="49" format="13" series="1">
      <pivotArea type="data" outline="0" fieldPosition="0">
        <references count="1">
          <reference field="4294967294" count="1" selected="0">
            <x v="0"/>
          </reference>
        </references>
      </pivotArea>
    </chartFormat>
    <chartFormat chart="49" format="14">
      <pivotArea type="data" outline="0" fieldPosition="0">
        <references count="2">
          <reference field="4294967294" count="1" selected="0">
            <x v="0"/>
          </reference>
          <reference field="0" count="1" selected="0">
            <x v="0"/>
          </reference>
        </references>
      </pivotArea>
    </chartFormat>
    <chartFormat chart="49" format="15">
      <pivotArea type="data" outline="0" fieldPosition="0">
        <references count="2">
          <reference field="4294967294" count="1" selected="0">
            <x v="0"/>
          </reference>
          <reference field="0" count="1" selected="0">
            <x v="1"/>
          </reference>
        </references>
      </pivotArea>
    </chartFormat>
    <chartFormat chart="49" format="16">
      <pivotArea type="data" outline="0" fieldPosition="0">
        <references count="2">
          <reference field="4294967294" count="1" selected="0">
            <x v="0"/>
          </reference>
          <reference field="0" count="1" selected="0">
            <x v="2"/>
          </reference>
        </references>
      </pivotArea>
    </chartFormat>
    <chartFormat chart="49" format="17">
      <pivotArea type="data" outline="0" fieldPosition="0">
        <references count="2">
          <reference field="4294967294" count="1" selected="0">
            <x v="0"/>
          </reference>
          <reference field="0" count="1" selected="0">
            <x v="3"/>
          </reference>
        </references>
      </pivotArea>
    </chartFormat>
    <chartFormat chart="49" format="18">
      <pivotArea type="data" outline="0" fieldPosition="0">
        <references count="2">
          <reference field="4294967294" count="1" selected="0">
            <x v="0"/>
          </reference>
          <reference field="0" count="1" selected="0">
            <x v="4"/>
          </reference>
        </references>
      </pivotArea>
    </chartFormat>
  </chartFormats>
  <pivotHierarchies count="39">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ick Leaves"/>
    <pivotHierarchy dragToData="1" caption="Average of Unpaid Leav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 Lession 1.xlsx!mmmm">
        <x15:activeTabTopLevelEntity name="[mmm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307261-3B87-4EE9-8C83-7B418AE6CA52}" name="PivotTable14" cacheId="139"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61">
  <location ref="P103:UJ105" firstHeaderRow="1" firstDataRow="2" firstDataCol="1"/>
  <pivotFields count="5">
    <pivotField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ascending" defaultSubtotal="0" defaultAttributeDrillState="1">
      <items count="5">
        <item x="0"/>
        <item x="1"/>
        <item x="2"/>
        <item x="3"/>
        <item x="4"/>
      </items>
    </pivotField>
    <pivotField axis="axisCol" allDrilled="1" subtotalTop="0" showAll="0" dataSourceSort="1" defaultSubtotal="0" defaultAttributeDrillState="1">
      <items count="5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s>
    </pivotField>
    <pivotField allDrilled="1" subtotalTop="0" showAll="0" dataSourceSort="1" defaultSubtotal="0" defaultAttributeDrillState="1"/>
  </pivotFields>
  <rowItems count="1">
    <i/>
  </rowItems>
  <colFields count="1">
    <field x="3"/>
  </colFields>
  <colItems count="5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t="grand">
      <x/>
    </i>
  </colItems>
  <dataFields count="1">
    <dataField name="Distinct Count of ID" fld="1" subtotal="count" baseField="0" baseItem="0">
      <extLst>
        <ext xmlns:x15="http://schemas.microsoft.com/office/spreadsheetml/2010/11/main" uri="{FABC7310-3BB5-11E1-824E-6D434824019B}">
          <x15:dataField isCountDistinct="1"/>
        </ext>
      </extLst>
    </dataField>
  </dataFields>
  <formats count="5">
    <format dxfId="47">
      <pivotArea type="all" dataOnly="0" outline="0" fieldPosition="0"/>
    </format>
    <format dxfId="48">
      <pivotArea outline="0" collapsedLevelsAreSubtotals="1" fieldPosition="0"/>
    </format>
    <format dxfId="49">
      <pivotArea field="0" type="button" dataOnly="0" labelOnly="1" outline="0"/>
    </format>
    <format dxfId="50">
      <pivotArea dataOnly="0" labelOnly="1" grandRow="1" outline="0" fieldPosition="0"/>
    </format>
    <format dxfId="51">
      <pivotArea dataOnly="0" labelOnly="1" outline="0" axis="axisValues" fieldPosition="0"/>
    </format>
  </formats>
  <chartFormats count="4">
    <chartFormat chart="29" format="4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7" format="2" series="1">
      <pivotArea type="data" outline="0" fieldPosition="0">
        <references count="1">
          <reference field="4294967294" count="1" selected="0">
            <x v="0"/>
          </reference>
        </references>
      </pivotArea>
    </chartFormat>
  </chartFormats>
  <pivotHierarchies count="39">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 Lession 1.xlsx!mmmm">
        <x15:activeTabTopLevelEntity name="[mmm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D3D78D-35D1-422F-B66C-3E701679E8EA}" name="PivotTable6" cacheId="1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4">
  <location ref="A9:B12" firstHeaderRow="1" firstDataRow="1" firstDataCol="1"/>
  <pivotFields count="3">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ID" fld="1" baseField="0" baseItem="0"/>
  </dataFields>
  <formats count="4">
    <format dxfId="43">
      <pivotArea outline="0" collapsedLevelsAreSubtotals="1" fieldPosition="0"/>
    </format>
    <format dxfId="44">
      <pivotArea collapsedLevelsAreSubtotals="1" fieldPosition="0">
        <references count="1">
          <reference field="0" count="1">
            <x v="0"/>
          </reference>
        </references>
      </pivotArea>
    </format>
    <format dxfId="45">
      <pivotArea collapsedLevelsAreSubtotals="1" fieldPosition="0">
        <references count="1">
          <reference field="0" count="1">
            <x v="1"/>
          </reference>
        </references>
      </pivotArea>
    </format>
    <format dxfId="46">
      <pivotArea grandRow="1" outline="0" collapsedLevelsAreSubtotals="1" fieldPosition="0"/>
    </format>
  </formats>
  <conditionalFormats count="1">
    <conditionalFormat priority="2">
      <pivotAreas count="1">
        <pivotArea type="data" collapsedLevelsAreSubtotals="1" fieldPosition="0">
          <references count="1">
            <reference field="0" count="2">
              <x v="0"/>
              <x v="1"/>
            </reference>
          </references>
        </pivotArea>
      </pivotAreas>
    </conditionalFormat>
  </conditionalFormats>
  <chartFormats count="6">
    <chartFormat chart="32" format="4" series="1">
      <pivotArea type="data" outline="0" fieldPosition="0">
        <references count="1">
          <reference field="4294967294" count="1" selected="0">
            <x v="0"/>
          </reference>
        </references>
      </pivotArea>
    </chartFormat>
    <chartFormat chart="32" format="5">
      <pivotArea type="data" outline="0" fieldPosition="0">
        <references count="2">
          <reference field="4294967294" count="1" selected="0">
            <x v="0"/>
          </reference>
          <reference field="0" count="1" selected="0">
            <x v="0"/>
          </reference>
        </references>
      </pivotArea>
    </chartFormat>
    <chartFormat chart="32" format="6">
      <pivotArea type="data" outline="0" fieldPosition="0">
        <references count="2">
          <reference field="4294967294" count="1" selected="0">
            <x v="0"/>
          </reference>
          <reference field="0" count="1" selected="0">
            <x v="1"/>
          </reference>
        </references>
      </pivotArea>
    </chartFormat>
    <chartFormat chart="42" format="7" series="1">
      <pivotArea type="data" outline="0" fieldPosition="0">
        <references count="1">
          <reference field="4294967294" count="1" selected="0">
            <x v="0"/>
          </reference>
        </references>
      </pivotArea>
    </chartFormat>
    <chartFormat chart="42" format="8">
      <pivotArea type="data" outline="0" fieldPosition="0">
        <references count="2">
          <reference field="4294967294" count="1" selected="0">
            <x v="0"/>
          </reference>
          <reference field="0" count="1" selected="0">
            <x v="0"/>
          </reference>
        </references>
      </pivotArea>
    </chartFormat>
    <chartFormat chart="42" format="9">
      <pivotArea type="data" outline="0" fieldPosition="0">
        <references count="2">
          <reference field="4294967294" count="1" selected="0">
            <x v="0"/>
          </reference>
          <reference field="0" count="1" selected="0">
            <x v="1"/>
          </reference>
        </references>
      </pivotArea>
    </chartFormat>
  </chartFormats>
  <pivotHierarchies count="39">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ick Leaves"/>
    <pivotHierarchy dragToData="1" caption="Average of Unpaid Leav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 Lession 1.xlsx!mmmm">
        <x15:activeTabTopLevelEntity name="[mmm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55F3BF-0877-4465-8815-D4F1390C7A85}" name="PivotTable7" cacheId="144"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68">
  <location ref="I1:J7" firstHeaderRow="1" firstDataRow="1" firstDataCol="1"/>
  <pivotFields count="2">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1"/>
    </i>
    <i>
      <x v="3"/>
    </i>
    <i>
      <x/>
    </i>
    <i>
      <x v="4"/>
    </i>
    <i>
      <x v="2"/>
    </i>
    <i t="grand">
      <x/>
    </i>
  </rowItems>
  <colItems count="1">
    <i/>
  </colItems>
  <dataFields count="1">
    <dataField name="Distinct Count of ID" fld="1" subtotal="count" baseField="0" baseItem="0">
      <extLst>
        <ext xmlns:x15="http://schemas.microsoft.com/office/spreadsheetml/2010/11/main" uri="{FABC7310-3BB5-11E1-824E-6D434824019B}">
          <x15:dataField isCountDistinct="1"/>
        </ext>
      </extLst>
    </dataField>
  </dataFields>
  <formats count="1">
    <format dxfId="42">
      <pivotArea outline="0" collapsedLevelsAreSubtotals="1" fieldPosition="0"/>
    </format>
  </formats>
  <chartFormats count="3">
    <chartFormat chart="11" format="0"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 chart="62" format="3" series="1">
      <pivotArea type="data" outline="0" fieldPosition="0">
        <references count="1">
          <reference field="4294967294" count="1" selected="0">
            <x v="0"/>
          </reference>
        </references>
      </pivotArea>
    </chartFormat>
  </chartFormats>
  <pivotHierarchies count="39">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4">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 Lession 1.xlsx!mmmm">
        <x15:activeTabTopLevelEntity name="[mmm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3EC03B-3333-4843-84FF-338BB12A55E9}" name="PivotTable2" cacheId="1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5:A3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Monthly Salary" fld="0" baseField="0" baseItem="0" numFmtId="164"/>
  </dataFields>
  <formats count="1">
    <format dxfId="41">
      <pivotArea outline="0" collapsedLevelsAreSubtotals="1" fieldPosition="0"/>
    </format>
  </formats>
  <pivotHierarchies count="39">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 Lession 1.xlsx!mmmm">
        <x15:activeTabTopLevelEntity name="[mmm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4288B3-A22D-4BF0-BB73-786FF4960466}" name="PivotTable11" cacheId="13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32:E3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ick Leaves" fld="0" subtotal="average" baseField="0" baseItem="0" numFmtId="167"/>
  </dataFields>
  <formats count="1">
    <format dxfId="40">
      <pivotArea outline="0" collapsedLevelsAreSubtotals="1" fieldPosition="0"/>
    </format>
  </formats>
  <pivotHierarchies count="39">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Monthly Salary"/>
    <pivotHierarchy dragToData="1"/>
    <pivotHierarchy dragToData="1"/>
    <pivotHierarchy dragToData="1"/>
    <pivotHierarchy dragToData="1"/>
    <pivotHierarchy dragToData="1"/>
    <pivotHierarchy dragToData="1"/>
    <pivotHierarchy dragToData="1"/>
    <pivotHierarchy dragToData="1" caption="Average of Sick Leave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 Lession 1.xlsx!mmmm">
        <x15:activeTabTopLevelEntity name="[mmm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27C166-6B52-4FE7-92A0-7F02F7838607}" name="PivotTable15" cacheId="1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Q52:R58"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Years" fld="1" subtotal="average" baseField="0" baseItem="1"/>
  </dataFields>
  <formats count="7">
    <format dxfId="33">
      <pivotArea outline="0" collapsedLevelsAreSubtotals="1" fieldPosition="0"/>
    </format>
    <format dxfId="34">
      <pivotArea collapsedLevelsAreSubtotals="1" fieldPosition="0">
        <references count="1">
          <reference field="0" count="1">
            <x v="0"/>
          </reference>
        </references>
      </pivotArea>
    </format>
    <format dxfId="35">
      <pivotArea collapsedLevelsAreSubtotals="1" fieldPosition="0">
        <references count="1">
          <reference field="0" count="1">
            <x v="1"/>
          </reference>
        </references>
      </pivotArea>
    </format>
    <format dxfId="36">
      <pivotArea collapsedLevelsAreSubtotals="1" fieldPosition="0">
        <references count="1">
          <reference field="0" count="1">
            <x v="3"/>
          </reference>
        </references>
      </pivotArea>
    </format>
    <format dxfId="37">
      <pivotArea collapsedLevelsAreSubtotals="1" fieldPosition="0">
        <references count="1">
          <reference field="0" count="1">
            <x v="2"/>
          </reference>
        </references>
      </pivotArea>
    </format>
    <format dxfId="38">
      <pivotArea collapsedLevelsAreSubtotals="1" fieldPosition="0">
        <references count="1">
          <reference field="0" count="1">
            <x v="4"/>
          </reference>
        </references>
      </pivotArea>
    </format>
    <format dxfId="39">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9">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Years"/>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 Lession 1.xlsx!mmmm">
        <x15:activeTabTopLevelEntity name="[mmm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4B9A4D-1950-4954-B8AD-C4C55EFF184C}" name="PivotTable3" cacheId="1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9:A4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Annual Salary" fld="0" baseField="0" baseItem="0" numFmtId="165"/>
  </dataFields>
  <formats count="1">
    <format dxfId="32">
      <pivotArea outline="0" collapsedLevelsAreSubtotals="1" fieldPosition="0"/>
    </format>
  </formats>
  <pivotHierarchies count="39">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 Lession 1.xlsx!mmmm">
        <x15:activeTabTopLevelEntity name="[mmm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A293245-FA81-4E34-8ECB-9BDF738A0545}" name="PivotTable12" cacheId="13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L31:M721" firstHeaderRow="1" firstDataRow="1" firstDataCol="1"/>
  <pivotFields count="3">
    <pivotField axis="axisRow" allDrilled="1" subtotalTop="0" showAll="0" dataSourceSort="1" defaultSubtotal="0" defaultAttributeDrillState="1">
      <items count="6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s>
    </pivotField>
    <pivotField dataField="1" subtotalTop="0" showAll="0" defaultSubtotal="0"/>
    <pivotField allDrilled="1" subtotalTop="0" showAll="0" dataSourceSort="1" defaultSubtotal="0" defaultAttributeDrillState="1"/>
  </pivotFields>
  <rowFields count="1">
    <field x="0"/>
  </rowFields>
  <rowItems count="6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t="grand">
      <x/>
    </i>
  </rowItems>
  <colItems count="1">
    <i/>
  </colItems>
  <dataFields count="1">
    <dataField name="Sum of Overtime Hours" fld="1" baseField="0" baseItem="0"/>
  </dataFields>
  <formats count="3">
    <format dxfId="29">
      <pivotArea outline="0" collapsedLevelsAreSubtotals="1" fieldPosition="0"/>
    </format>
    <format dxfId="30">
      <pivotArea dataOnly="0" labelOnly="1" outline="0" axis="axisValues" fieldPosition="0"/>
    </format>
    <format dxfId="31">
      <pivotArea grandRow="1" outline="0" collapsedLevelsAreSubtotals="1" fieldPosition="0"/>
    </format>
  </formats>
  <pivotHierarchies count="39">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Monthly Salary"/>
    <pivotHierarchy dragToData="1"/>
    <pivotHierarchy dragToData="1"/>
    <pivotHierarchy dragToData="1"/>
    <pivotHierarchy dragToData="1"/>
    <pivotHierarchy dragToData="1"/>
    <pivotHierarchy dragToData="1"/>
    <pivotHierarchy dragToData="1"/>
    <pivotHierarchy dragToData="1" caption="Average of Sick Leav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 Lession 1.xlsx!mmmm">
        <x15:activeTabTopLevelEntity name="[mmm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6899791-A055-4ABE-B89A-96232AACBF02}" name="PivotTable1" cacheId="1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4">
  <location ref="A1:B7" firstHeaderRow="1" firstDataRow="1" firstDataCol="1"/>
  <pivotFields count="4">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ascending" defaultSubtotal="0" defaultAttributeDrillState="1">
      <items count="5">
        <item x="0"/>
        <item x="1"/>
        <item x="2"/>
        <item x="3"/>
        <item x="4"/>
      </items>
    </pivotField>
    <pivotField allDrilled="1" subtotalTop="0" showAll="0" dataSourceSort="1" defaultSubtotal="0" defaultAttributeDrillState="1"/>
  </pivotFields>
  <rowFields count="1">
    <field x="0"/>
  </rowFields>
  <rowItems count="6">
    <i>
      <x v="1"/>
    </i>
    <i>
      <x v="3"/>
    </i>
    <i>
      <x v="2"/>
    </i>
    <i>
      <x v="4"/>
    </i>
    <i>
      <x/>
    </i>
    <i t="grand">
      <x/>
    </i>
  </rowItems>
  <colItems count="1">
    <i/>
  </colItems>
  <dataFields count="1">
    <dataField name="Distinct Count of ID" fld="1" subtotal="count" baseField="0" baseItem="0">
      <extLst>
        <ext xmlns:x15="http://schemas.microsoft.com/office/spreadsheetml/2010/11/main" uri="{FABC7310-3BB5-11E1-824E-6D434824019B}">
          <x15:dataField isCountDistinct="1"/>
        </ext>
      </extLst>
    </dataField>
  </dataFields>
  <formats count="6">
    <format dxfId="23">
      <pivotArea type="all" dataOnly="0" outline="0" fieldPosition="0"/>
    </format>
    <format dxfId="24">
      <pivotArea outline="0" collapsedLevelsAreSubtotals="1" fieldPosition="0"/>
    </format>
    <format dxfId="25">
      <pivotArea field="0" type="button" dataOnly="0" labelOnly="1" outline="0" axis="axisRow" fieldPosition="0"/>
    </format>
    <format dxfId="26">
      <pivotArea dataOnly="0" labelOnly="1" fieldPosition="0">
        <references count="1">
          <reference field="0" count="0"/>
        </references>
      </pivotArea>
    </format>
    <format dxfId="27">
      <pivotArea dataOnly="0" labelOnly="1" grandRow="1" outline="0" fieldPosition="0"/>
    </format>
    <format dxfId="28">
      <pivotArea dataOnly="0" labelOnly="1" outline="0" axis="axisValues" fieldPosition="0"/>
    </format>
  </formats>
  <chartFormats count="7">
    <chartFormat chart="45" format="1" series="1">
      <pivotArea type="data" outline="0" fieldPosition="0">
        <references count="1">
          <reference field="4294967294" count="1" selected="0">
            <x v="0"/>
          </reference>
        </references>
      </pivotArea>
    </chartFormat>
    <chartFormat chart="57" format="2" series="1">
      <pivotArea type="data" outline="0" fieldPosition="0">
        <references count="1">
          <reference field="4294967294" count="1" selected="0">
            <x v="0"/>
          </reference>
        </references>
      </pivotArea>
    </chartFormat>
    <chartFormat chart="57" format="3">
      <pivotArea type="data" outline="0" fieldPosition="0">
        <references count="2">
          <reference field="4294967294" count="1" selected="0">
            <x v="0"/>
          </reference>
          <reference field="0" count="1" selected="0">
            <x v="0"/>
          </reference>
        </references>
      </pivotArea>
    </chartFormat>
    <chartFormat chart="57" format="4">
      <pivotArea type="data" outline="0" fieldPosition="0">
        <references count="2">
          <reference field="4294967294" count="1" selected="0">
            <x v="0"/>
          </reference>
          <reference field="0" count="1" selected="0">
            <x v="4"/>
          </reference>
        </references>
      </pivotArea>
    </chartFormat>
    <chartFormat chart="57" format="5">
      <pivotArea type="data" outline="0" fieldPosition="0">
        <references count="2">
          <reference field="4294967294" count="1" selected="0">
            <x v="0"/>
          </reference>
          <reference field="0" count="1" selected="0">
            <x v="2"/>
          </reference>
        </references>
      </pivotArea>
    </chartFormat>
    <chartFormat chart="57" format="6">
      <pivotArea type="data" outline="0" fieldPosition="0">
        <references count="2">
          <reference field="4294967294" count="1" selected="0">
            <x v="0"/>
          </reference>
          <reference field="0" count="1" selected="0">
            <x v="3"/>
          </reference>
        </references>
      </pivotArea>
    </chartFormat>
    <chartFormat chart="61" format="7" series="1">
      <pivotArea type="data" outline="0" fieldPosition="0">
        <references count="1">
          <reference field="4294967294" count="1" selected="0">
            <x v="0"/>
          </reference>
        </references>
      </pivotArea>
    </chartFormat>
  </chartFormats>
  <pivotHierarchies count="39">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 Lession 1.xlsx!mmmm">
        <x15:activeTabTopLevelEntity name="[mmm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CDDB7D5-E66B-463E-A7E3-C884F6666ED7}" name="PivotTable9" cacheId="13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3:B733" firstHeaderRow="1" firstDataRow="1" firstDataCol="1"/>
  <pivotFields count="3">
    <pivotField dataField="1" subtotalTop="0" showAll="0" defaultSubtotal="0"/>
    <pivotField axis="axisRow" allDrilled="1" subtotalTop="0" showAll="0" dataSourceSort="1" defaultSubtotal="0" defaultAttributeDrillState="1">
      <items count="6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s>
    </pivotField>
    <pivotField allDrilled="1" subtotalTop="0" showAll="0" dataSourceSort="1" defaultSubtotal="0" defaultAttributeDrillState="1"/>
  </pivotFields>
  <rowFields count="1">
    <field x="1"/>
  </rowFields>
  <rowItems count="6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t="grand">
      <x/>
    </i>
  </rowItems>
  <colItems count="1">
    <i/>
  </colItems>
  <dataFields count="1">
    <dataField name="Average of Job Rate" fld="0" subtotal="average" baseField="0" baseItem="0"/>
  </dataFields>
  <formats count="1">
    <format dxfId="22">
      <pivotArea outline="0" collapsedLevelsAreSubtotals="1" fieldPosition="0"/>
    </format>
  </formats>
  <pivotHierarchies count="39">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Job Rate"/>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 Lession 1.xlsx!mmmm">
        <x15:activeTabTopLevelEntity name="[mmm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03ABE14-450C-41BF-ACAB-257111BE343A}" name="PivotTable16" cacheId="1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39:A74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ID" fld="0" baseField="0" baseItem="0"/>
  </dataFields>
  <formats count="1">
    <format dxfId="21">
      <pivotArea outline="0" collapsedLevelsAreSubtotals="1" fieldPosition="0"/>
    </format>
  </formats>
  <pivotHierarchies count="39">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Job Rat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 Lession 1.xlsx!mmmm">
        <x15:activeTabTopLevelEntity name="[mmm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5FBD42E-8E45-40FE-9F7B-7295536EF889}" name="PivotTable8" cacheId="133" dataOnRows="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22:B2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Years" fld="0" baseField="1" baseItem="0"/>
  </dataFields>
  <formats count="2">
    <format dxfId="19">
      <pivotArea outline="0" collapsedLevelsAreSubtotals="1" fieldPosition="0"/>
    </format>
    <format dxfId="20">
      <pivotArea dataOnly="0" labelOnly="1" outline="0" axis="axisValues" fieldPosition="0"/>
    </format>
  </formats>
  <chartFormats count="3">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0"/>
          </reference>
        </references>
      </pivotArea>
    </chartFormat>
    <chartFormat chart="5" format="4">
      <pivotArea type="data" outline="0" fieldPosition="0">
        <references count="2">
          <reference field="4294967294" count="1" selected="0">
            <x v="0"/>
          </reference>
          <reference field="1" count="1" selected="0">
            <x v="1"/>
          </reference>
        </references>
      </pivotArea>
    </chartFormat>
  </chartFormats>
  <pivotHierarchies count="39">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 Lession 1.xlsx!mmmm">
        <x15:activeTabTopLevelEntity name="[mmm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C75CF9A-CBFB-4F0F-933D-270B61A6C1B3}" name="PivotTable4" cacheId="1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7:A2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Monthly Salary" fld="0" subtotal="average" baseField="0" baseItem="0" numFmtId="2"/>
  </dataFields>
  <pivotHierarchies count="39">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Monthly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 Lession 1.xlsx!mmmm">
        <x15:activeTabTopLevelEntity name="[mmm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73D640A-F78B-471E-B128-92D96F35E4BF}" name="PivotTable17" cacheId="14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45:A1045" firstHeaderRow="1" firstDataRow="1" firstDataCol="1"/>
  <pivotFields count="2">
    <pivotField axis="axisRow" allDrilled="1" subtotalTop="0" showAll="0" dataSourceSort="1" defaultSubtotal="0" defaultAttributeDrillState="1">
      <items count="2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s>
    </pivotField>
    <pivotField allDrilled="1" subtotalTop="0" showAll="0" dataSourceSort="1" defaultSubtotal="0" defaultAttributeDrillState="1"/>
  </pivotFields>
  <rowFields count="1">
    <field x="0"/>
  </rowFields>
  <rowItems count="3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t="grand">
      <x/>
    </i>
  </rowItems>
  <formats count="1">
    <format dxfId="18">
      <pivotArea outline="0" collapsedLevelsAreSubtotals="1" fieldPosition="0"/>
    </format>
  </formats>
  <pivotHierarchies count="39">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Job Rate"/>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 Lession 1.xlsx!mmmm">
        <x15:activeTabTopLevelEntity name="[mmm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87566C0-2BD8-45BE-9E21-9A9C6ACCA4B9}" name="PivotTable5" cacheId="1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1:A3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nnual Salary" fld="0" subtotal="average" baseField="0" baseItem="0" numFmtId="2"/>
  </dataFields>
  <pivotHierarchies count="39">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nnual Sala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 Lession 1.xlsx!mmmm">
        <x15:activeTabTopLevelEntity name="[mmm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155371C-CA73-41BA-A639-B12DF149CC80}" name="PivotTable10" cacheId="135" dataOnRows="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45:I735" firstHeaderRow="1" firstDataRow="1" firstDataCol="1"/>
  <pivotFields count="3">
    <pivotField axis="axisRow" allDrilled="1" subtotalTop="0" showAll="0" dataSourceSort="1" defaultSubtotal="0" defaultAttributeDrillState="1">
      <items count="6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s>
    </pivotField>
    <pivotField dataField="1" subtotalTop="0" showAll="0" defaultSubtotal="0"/>
    <pivotField allDrilled="1" subtotalTop="0" showAll="0" dataSourceSort="1" defaultSubtotal="0" defaultAttributeDrillState="1"/>
  </pivotFields>
  <rowFields count="1">
    <field x="0"/>
  </rowFields>
  <rowItems count="6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t="grand">
      <x/>
    </i>
  </rowItems>
  <colItems count="1">
    <i/>
  </colItems>
  <dataFields count="1">
    <dataField name="Average of Years" fld="1" subtotal="average" baseField="0" baseItem="0"/>
  </dataFields>
  <formats count="1">
    <format dxfId="17">
      <pivotArea outline="0" collapsedLevelsAreSubtotals="1" fieldPosition="0"/>
    </format>
  </formats>
  <pivotHierarchies count="39">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Years"/>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wer Query- Lession 1.xlsx!mmmm">
        <x15:activeTabTopLevelEntity name="[mmmm]"/>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BEBDED3-D9A1-41C4-AC95-127E7BB1FF3C}" autoFormatId="16" applyNumberFormats="0" applyBorderFormats="0" applyFontFormats="0" applyPatternFormats="0" applyAlignmentFormats="0" applyWidthHeightFormats="0">
  <queryTableRefresh nextId="17">
    <queryTableFields count="16">
      <queryTableField id="1" name="ID" tableColumnId="1"/>
      <queryTableField id="2" name="First Name" tableColumnId="2"/>
      <queryTableField id="3" name="Last Name" tableColumnId="3"/>
      <queryTableField id="16" dataBound="0" tableColumnId="16"/>
      <queryTableField id="4" name="Gender" tableColumnId="4"/>
      <queryTableField id="5" name="Start Date" tableColumnId="5"/>
      <queryTableField id="6" name="Years" tableColumnId="6"/>
      <queryTableField id="7" name="Department" tableColumnId="7"/>
      <queryTableField id="8" name="Country" tableColumnId="8"/>
      <queryTableField id="9" name="Center" tableColumnId="9"/>
      <queryTableField id="10" name="Monthly Salary" tableColumnId="10"/>
      <queryTableField id="11" name="Annual Salary" tableColumnId="11"/>
      <queryTableField id="12" name="Job Rate" tableColumnId="12"/>
      <queryTableField id="13" name="Sick Leaves" tableColumnId="13"/>
      <queryTableField id="14" name="Unpaid Leaves" tableColumnId="14"/>
      <queryTableField id="15" name="Overtime Hours"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F876C16-4938-4E7C-BEE6-C60E281DEC3D}" sourceName="[mmmm].[Department]">
  <pivotTables>
    <pivotTable tabId="10" name="PivotTable7"/>
    <pivotTable tabId="10" name="PivotTable1"/>
    <pivotTable tabId="10" name="PivotTable2"/>
    <pivotTable tabId="10" name="PivotTable3"/>
    <pivotTable tabId="10" name="PivotTable4"/>
    <pivotTable tabId="10" name="PivotTable5"/>
    <pivotTable tabId="10" name="PivotTable6"/>
    <pivotTable tabId="10" name="PivotTable8"/>
    <pivotTable tabId="10" name="PivotTable9"/>
    <pivotTable tabId="10" name="PivotTable10"/>
    <pivotTable tabId="10" name="PivotTable11"/>
    <pivotTable tabId="10" name="PivotTable12"/>
    <pivotTable tabId="10" name="PivotTable13"/>
    <pivotTable tabId="10" name="PivotTable14"/>
    <pivotTable tabId="10" name="PivotTable15"/>
    <pivotTable tabId="10" name="PivotTable16"/>
    <pivotTable tabId="10" name="PivotTable17"/>
    <pivotTable tabId="10" name="PivotTable18"/>
  </pivotTables>
  <data>
    <olap pivotCacheId="304109923">
      <levels count="2">
        <level uniqueName="[mmmm].[Department].[(All)]" sourceCaption="(All)" count="0"/>
        <level uniqueName="[mmmm].[Department].[Department]" sourceCaption="Department" count="20">
          <ranges>
            <range startItem="0">
              <i n="[mmmm].[Department].&amp;[Account Management]" c="Account Management"/>
              <i n="[mmmm].[Department].&amp;[Creative]" c="Creative"/>
              <i n="[mmmm].[Department].&amp;[Environmental Compliance]" c="Environmental Compliance"/>
              <i n="[mmmm].[Department].&amp;[Environmental Health/Safety]" c="Environmental Health/Safety"/>
              <i n="[mmmm].[Department].&amp;[Facilities/Engineering]" c="Facilities/Engineering"/>
              <i n="[mmmm].[Department].&amp;[Green Building]" c="Green Building"/>
              <i n="[mmmm].[Department].&amp;[Human Resources]" c="Human Resources"/>
              <i n="[mmmm].[Department].&amp;[IT]" c="IT"/>
              <i n="[mmmm].[Department].&amp;[Major Mfg Projects]" c="Major Mfg Projects"/>
              <i n="[mmmm].[Department].&amp;[Manufacturing]" c="Manufacturing"/>
              <i n="[mmmm].[Department].&amp;[Manufacturing Admin]" c="Manufacturing Admin"/>
              <i n="[mmmm].[Department].&amp;[Marketing]" c="Marketing"/>
              <i n="[mmmm].[Department].&amp;[Product Development]" c="Product Development"/>
              <i n="[mmmm].[Department].&amp;[Professional Training Group]" c="Professional Training Group"/>
              <i n="[mmmm].[Department].&amp;[Quality Assurance]" c="Quality Assurance"/>
              <i n="[mmmm].[Department].&amp;[Quality Control]" c="Quality Control"/>
              <i n="[mmmm].[Department].&amp;[Research Center]" c="Research Center"/>
              <i n="[mmmm].[Department].&amp;[Research/Development]" c="Research/Development"/>
              <i n="[mmmm].[Department].&amp;[Sales]" c="Sales"/>
              <i n="[mmmm].[Department].&amp;[Training]" c="Training"/>
            </range>
          </ranges>
        </level>
      </levels>
      <selections count="1">
        <selection n="[mmmm].[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928FF0E-8ED5-4C9E-9994-7F4779A7F12F}" sourceName="[mmmm].[Country]">
  <pivotTables>
    <pivotTable tabId="10" name="PivotTable1"/>
    <pivotTable tabId="10" name="PivotTable2"/>
    <pivotTable tabId="10" name="PivotTable3"/>
    <pivotTable tabId="10" name="PivotTable4"/>
    <pivotTable tabId="10" name="PivotTable5"/>
    <pivotTable tabId="10" name="PivotTable6"/>
    <pivotTable tabId="10" name="PivotTable7"/>
    <pivotTable tabId="10" name="PivotTable8"/>
    <pivotTable tabId="10" name="PivotTable9"/>
    <pivotTable tabId="10" name="PivotTable10"/>
    <pivotTable tabId="10" name="PivotTable11"/>
    <pivotTable tabId="10" name="PivotTable12"/>
    <pivotTable tabId="10" name="PivotTable13"/>
    <pivotTable tabId="10" name="PivotTable14"/>
    <pivotTable tabId="10" name="PivotTable15"/>
    <pivotTable tabId="10" name="PivotTable16"/>
    <pivotTable tabId="10" name="PivotTable17"/>
  </pivotTables>
  <data>
    <olap pivotCacheId="304109923">
      <levels count="2">
        <level uniqueName="[mmmm].[Country].[(All)]" sourceCaption="(All)" count="0"/>
        <level uniqueName="[mmmm].[Country].[Country]" sourceCaption="Country" count="5">
          <ranges>
            <range startItem="0">
              <i n="[mmmm].[Country].&amp;[Egypt]" c="Egypt"/>
              <i n="[mmmm].[Country].&amp;[Lebanon]" c="Lebanon"/>
              <i n="[mmmm].[Country].&amp;[Saudi Arabia]" c="Saudi Arabia"/>
              <i n="[mmmm].[Country].&amp;[Syria]" c="Syria"/>
              <i n="[mmmm].[Country].&amp;[United Arab Emirates]" c="United Arab Emirates"/>
            </range>
          </ranges>
        </level>
      </levels>
      <selections count="1">
        <selection n="[mmmm].[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D" xr10:uid="{0B7113D5-A499-47D0-BCA4-5B972ABC5FFB}" sourceName="[mmmm].[ID]">
  <pivotTables>
    <pivotTable tabId="10" name="PivotTable18"/>
    <pivotTable tabId="10" name="PivotTable1"/>
    <pivotTable tabId="10" name="PivotTable10"/>
    <pivotTable tabId="10" name="PivotTable11"/>
    <pivotTable tabId="10" name="PivotTable12"/>
    <pivotTable tabId="10" name="PivotTable13"/>
    <pivotTable tabId="10" name="PivotTable14"/>
    <pivotTable tabId="10" name="PivotTable15"/>
    <pivotTable tabId="10" name="PivotTable16"/>
    <pivotTable tabId="10" name="PivotTable17"/>
    <pivotTable tabId="10" name="PivotTable2"/>
    <pivotTable tabId="10" name="PivotTable3"/>
    <pivotTable tabId="10" name="PivotTable4"/>
    <pivotTable tabId="10" name="PivotTable5"/>
    <pivotTable tabId="10" name="PivotTable6"/>
    <pivotTable tabId="10" name="PivotTable7"/>
    <pivotTable tabId="10" name="PivotTable8"/>
    <pivotTable tabId="10" name="PivotTable9"/>
  </pivotTables>
  <data>
    <olap pivotCacheId="1577181500">
      <levels count="2">
        <level uniqueName="[mmmm].[ID].[(All)]" sourceCaption="(All)" count="0"/>
        <level uniqueName="[mmmm].[ID].[ID]" sourceCaption="ID" count="689">
          <ranges>
            <range startItem="0">
              <i n="[mmmm].[ID].&amp;[1]" c="1"/>
              <i n="[mmmm].[ID].&amp;[2]" c="2"/>
              <i n="[mmmm].[ID].&amp;[3]" c="3"/>
              <i n="[mmmm].[ID].&amp;[4]" c="4"/>
              <i n="[mmmm].[ID].&amp;[5]" c="5"/>
              <i n="[mmmm].[ID].&amp;[6]" c="6"/>
              <i n="[mmmm].[ID].&amp;[7]" c="7"/>
              <i n="[mmmm].[ID].&amp;[8]" c="8"/>
              <i n="[mmmm].[ID].&amp;[9]" c="9"/>
              <i n="[mmmm].[ID].&amp;[10]" c="10"/>
              <i n="[mmmm].[ID].&amp;[11]" c="11"/>
              <i n="[mmmm].[ID].&amp;[12]" c="12"/>
              <i n="[mmmm].[ID].&amp;[13]" c="13"/>
              <i n="[mmmm].[ID].&amp;[14]" c="14"/>
              <i n="[mmmm].[ID].&amp;[15]" c="15"/>
              <i n="[mmmm].[ID].&amp;[16]" c="16"/>
              <i n="[mmmm].[ID].&amp;[17]" c="17"/>
              <i n="[mmmm].[ID].&amp;[18]" c="18"/>
              <i n="[mmmm].[ID].&amp;[19]" c="19"/>
              <i n="[mmmm].[ID].&amp;[20]" c="20"/>
              <i n="[mmmm].[ID].&amp;[21]" c="21"/>
              <i n="[mmmm].[ID].&amp;[22]" c="22"/>
              <i n="[mmmm].[ID].&amp;[23]" c="23"/>
              <i n="[mmmm].[ID].&amp;[24]" c="24"/>
              <i n="[mmmm].[ID].&amp;[25]" c="25"/>
              <i n="[mmmm].[ID].&amp;[26]" c="26"/>
              <i n="[mmmm].[ID].&amp;[27]" c="27"/>
              <i n="[mmmm].[ID].&amp;[28]" c="28"/>
              <i n="[mmmm].[ID].&amp;[29]" c="29"/>
              <i n="[mmmm].[ID].&amp;[30]" c="30"/>
              <i n="[mmmm].[ID].&amp;[31]" c="31"/>
              <i n="[mmmm].[ID].&amp;[32]" c="32"/>
              <i n="[mmmm].[ID].&amp;[33]" c="33"/>
              <i n="[mmmm].[ID].&amp;[34]" c="34"/>
              <i n="[mmmm].[ID].&amp;[35]" c="35"/>
              <i n="[mmmm].[ID].&amp;[36]" c="36"/>
              <i n="[mmmm].[ID].&amp;[37]" c="37"/>
              <i n="[mmmm].[ID].&amp;[38]" c="38"/>
              <i n="[mmmm].[ID].&amp;[39]" c="39"/>
              <i n="[mmmm].[ID].&amp;[40]" c="40"/>
              <i n="[mmmm].[ID].&amp;[41]" c="41"/>
              <i n="[mmmm].[ID].&amp;[42]" c="42"/>
              <i n="[mmmm].[ID].&amp;[43]" c="43"/>
              <i n="[mmmm].[ID].&amp;[44]" c="44"/>
              <i n="[mmmm].[ID].&amp;[45]" c="45"/>
              <i n="[mmmm].[ID].&amp;[46]" c="46"/>
              <i n="[mmmm].[ID].&amp;[47]" c="47"/>
              <i n="[mmmm].[ID].&amp;[48]" c="48"/>
              <i n="[mmmm].[ID].&amp;[49]" c="49"/>
              <i n="[mmmm].[ID].&amp;[50]" c="50"/>
              <i n="[mmmm].[ID].&amp;[51]" c="51"/>
              <i n="[mmmm].[ID].&amp;[52]" c="52"/>
              <i n="[mmmm].[ID].&amp;[53]" c="53"/>
              <i n="[mmmm].[ID].&amp;[54]" c="54"/>
              <i n="[mmmm].[ID].&amp;[55]" c="55"/>
              <i n="[mmmm].[ID].&amp;[56]" c="56"/>
              <i n="[mmmm].[ID].&amp;[57]" c="57"/>
              <i n="[mmmm].[ID].&amp;[58]" c="58"/>
              <i n="[mmmm].[ID].&amp;[59]" c="59"/>
              <i n="[mmmm].[ID].&amp;[60]" c="60"/>
              <i n="[mmmm].[ID].&amp;[61]" c="61"/>
              <i n="[mmmm].[ID].&amp;[62]" c="62"/>
              <i n="[mmmm].[ID].&amp;[63]" c="63"/>
              <i n="[mmmm].[ID].&amp;[64]" c="64"/>
              <i n="[mmmm].[ID].&amp;[65]" c="65"/>
              <i n="[mmmm].[ID].&amp;[66]" c="66"/>
              <i n="[mmmm].[ID].&amp;[67]" c="67"/>
              <i n="[mmmm].[ID].&amp;[68]" c="68"/>
              <i n="[mmmm].[ID].&amp;[69]" c="69"/>
              <i n="[mmmm].[ID].&amp;[70]" c="70"/>
              <i n="[mmmm].[ID].&amp;[71]" c="71"/>
              <i n="[mmmm].[ID].&amp;[72]" c="72"/>
              <i n="[mmmm].[ID].&amp;[73]" c="73"/>
              <i n="[mmmm].[ID].&amp;[74]" c="74"/>
              <i n="[mmmm].[ID].&amp;[75]" c="75"/>
              <i n="[mmmm].[ID].&amp;[76]" c="76"/>
              <i n="[mmmm].[ID].&amp;[77]" c="77"/>
              <i n="[mmmm].[ID].&amp;[78]" c="78"/>
              <i n="[mmmm].[ID].&amp;[79]" c="79"/>
              <i n="[mmmm].[ID].&amp;[80]" c="80"/>
              <i n="[mmmm].[ID].&amp;[81]" c="81"/>
              <i n="[mmmm].[ID].&amp;[82]" c="82"/>
              <i n="[mmmm].[ID].&amp;[83]" c="83"/>
              <i n="[mmmm].[ID].&amp;[84]" c="84"/>
              <i n="[mmmm].[ID].&amp;[85]" c="85"/>
              <i n="[mmmm].[ID].&amp;[86]" c="86"/>
              <i n="[mmmm].[ID].&amp;[87]" c="87"/>
              <i n="[mmmm].[ID].&amp;[88]" c="88"/>
              <i n="[mmmm].[ID].&amp;[89]" c="89"/>
              <i n="[mmmm].[ID].&amp;[90]" c="90"/>
              <i n="[mmmm].[ID].&amp;[91]" c="91"/>
              <i n="[mmmm].[ID].&amp;[92]" c="92"/>
              <i n="[mmmm].[ID].&amp;[93]" c="93"/>
              <i n="[mmmm].[ID].&amp;[94]" c="94"/>
              <i n="[mmmm].[ID].&amp;[95]" c="95"/>
              <i n="[mmmm].[ID].&amp;[96]" c="96"/>
              <i n="[mmmm].[ID].&amp;[97]" c="97"/>
              <i n="[mmmm].[ID].&amp;[98]" c="98"/>
              <i n="[mmmm].[ID].&amp;[99]" c="99"/>
              <i n="[mmmm].[ID].&amp;[100]" c="100"/>
              <i n="[mmmm].[ID].&amp;[101]" c="101"/>
              <i n="[mmmm].[ID].&amp;[102]" c="102"/>
              <i n="[mmmm].[ID].&amp;[103]" c="103"/>
              <i n="[mmmm].[ID].&amp;[104]" c="104"/>
              <i n="[mmmm].[ID].&amp;[105]" c="105"/>
              <i n="[mmmm].[ID].&amp;[106]" c="106"/>
              <i n="[mmmm].[ID].&amp;[107]" c="107"/>
              <i n="[mmmm].[ID].&amp;[108]" c="108"/>
              <i n="[mmmm].[ID].&amp;[109]" c="109"/>
              <i n="[mmmm].[ID].&amp;[110]" c="110"/>
              <i n="[mmmm].[ID].&amp;[111]" c="111"/>
              <i n="[mmmm].[ID].&amp;[112]" c="112"/>
              <i n="[mmmm].[ID].&amp;[113]" c="113"/>
              <i n="[mmmm].[ID].&amp;[114]" c="114"/>
              <i n="[mmmm].[ID].&amp;[115]" c="115"/>
              <i n="[mmmm].[ID].&amp;[116]" c="116"/>
              <i n="[mmmm].[ID].&amp;[117]" c="117"/>
              <i n="[mmmm].[ID].&amp;[118]" c="118"/>
              <i n="[mmmm].[ID].&amp;[119]" c="119"/>
              <i n="[mmmm].[ID].&amp;[120]" c="120"/>
              <i n="[mmmm].[ID].&amp;[121]" c="121"/>
              <i n="[mmmm].[ID].&amp;[122]" c="122"/>
              <i n="[mmmm].[ID].&amp;[123]" c="123"/>
              <i n="[mmmm].[ID].&amp;[124]" c="124"/>
              <i n="[mmmm].[ID].&amp;[125]" c="125"/>
              <i n="[mmmm].[ID].&amp;[126]" c="126"/>
              <i n="[mmmm].[ID].&amp;[127]" c="127"/>
              <i n="[mmmm].[ID].&amp;[128]" c="128"/>
              <i n="[mmmm].[ID].&amp;[129]" c="129"/>
              <i n="[mmmm].[ID].&amp;[130]" c="130"/>
              <i n="[mmmm].[ID].&amp;[131]" c="131"/>
              <i n="[mmmm].[ID].&amp;[132]" c="132"/>
              <i n="[mmmm].[ID].&amp;[133]" c="133"/>
              <i n="[mmmm].[ID].&amp;[134]" c="134"/>
              <i n="[mmmm].[ID].&amp;[135]" c="135"/>
              <i n="[mmmm].[ID].&amp;[136]" c="136"/>
              <i n="[mmmm].[ID].&amp;[137]" c="137"/>
              <i n="[mmmm].[ID].&amp;[138]" c="138"/>
              <i n="[mmmm].[ID].&amp;[139]" c="139"/>
              <i n="[mmmm].[ID].&amp;[140]" c="140"/>
              <i n="[mmmm].[ID].&amp;[141]" c="141"/>
              <i n="[mmmm].[ID].&amp;[142]" c="142"/>
              <i n="[mmmm].[ID].&amp;[143]" c="143"/>
              <i n="[mmmm].[ID].&amp;[144]" c="144"/>
              <i n="[mmmm].[ID].&amp;[145]" c="145"/>
              <i n="[mmmm].[ID].&amp;[146]" c="146"/>
              <i n="[mmmm].[ID].&amp;[147]" c="147"/>
              <i n="[mmmm].[ID].&amp;[148]" c="148"/>
              <i n="[mmmm].[ID].&amp;[149]" c="149"/>
              <i n="[mmmm].[ID].&amp;[150]" c="150"/>
              <i n="[mmmm].[ID].&amp;[151]" c="151"/>
              <i n="[mmmm].[ID].&amp;[152]" c="152"/>
              <i n="[mmmm].[ID].&amp;[153]" c="153"/>
              <i n="[mmmm].[ID].&amp;[154]" c="154"/>
              <i n="[mmmm].[ID].&amp;[155]" c="155"/>
              <i n="[mmmm].[ID].&amp;[156]" c="156"/>
              <i n="[mmmm].[ID].&amp;[157]" c="157"/>
              <i n="[mmmm].[ID].&amp;[158]" c="158"/>
              <i n="[mmmm].[ID].&amp;[159]" c="159"/>
              <i n="[mmmm].[ID].&amp;[160]" c="160"/>
              <i n="[mmmm].[ID].&amp;[161]" c="161"/>
              <i n="[mmmm].[ID].&amp;[162]" c="162"/>
              <i n="[mmmm].[ID].&amp;[163]" c="163"/>
              <i n="[mmmm].[ID].&amp;[164]" c="164"/>
              <i n="[mmmm].[ID].&amp;[165]" c="165"/>
              <i n="[mmmm].[ID].&amp;[166]" c="166"/>
              <i n="[mmmm].[ID].&amp;[167]" c="167"/>
              <i n="[mmmm].[ID].&amp;[168]" c="168"/>
              <i n="[mmmm].[ID].&amp;[169]" c="169"/>
              <i n="[mmmm].[ID].&amp;[170]" c="170"/>
              <i n="[mmmm].[ID].&amp;[171]" c="171"/>
              <i n="[mmmm].[ID].&amp;[172]" c="172"/>
              <i n="[mmmm].[ID].&amp;[173]" c="173"/>
              <i n="[mmmm].[ID].&amp;[174]" c="174"/>
              <i n="[mmmm].[ID].&amp;[175]" c="175"/>
              <i n="[mmmm].[ID].&amp;[176]" c="176"/>
              <i n="[mmmm].[ID].&amp;[177]" c="177"/>
              <i n="[mmmm].[ID].&amp;[178]" c="178"/>
              <i n="[mmmm].[ID].&amp;[179]" c="179"/>
              <i n="[mmmm].[ID].&amp;[180]" c="180"/>
              <i n="[mmmm].[ID].&amp;[181]" c="181"/>
              <i n="[mmmm].[ID].&amp;[182]" c="182"/>
              <i n="[mmmm].[ID].&amp;[183]" c="183"/>
              <i n="[mmmm].[ID].&amp;[184]" c="184"/>
              <i n="[mmmm].[ID].&amp;[185]" c="185"/>
              <i n="[mmmm].[ID].&amp;[186]" c="186"/>
              <i n="[mmmm].[ID].&amp;[187]" c="187"/>
              <i n="[mmmm].[ID].&amp;[188]" c="188"/>
              <i n="[mmmm].[ID].&amp;[189]" c="189"/>
              <i n="[mmmm].[ID].&amp;[190]" c="190"/>
              <i n="[mmmm].[ID].&amp;[191]" c="191"/>
              <i n="[mmmm].[ID].&amp;[192]" c="192"/>
              <i n="[mmmm].[ID].&amp;[193]" c="193"/>
              <i n="[mmmm].[ID].&amp;[194]" c="194"/>
              <i n="[mmmm].[ID].&amp;[195]" c="195"/>
              <i n="[mmmm].[ID].&amp;[196]" c="196"/>
              <i n="[mmmm].[ID].&amp;[197]" c="197"/>
              <i n="[mmmm].[ID].&amp;[198]" c="198"/>
              <i n="[mmmm].[ID].&amp;[199]" c="199"/>
              <i n="[mmmm].[ID].&amp;[200]" c="200"/>
              <i n="[mmmm].[ID].&amp;[201]" c="201"/>
              <i n="[mmmm].[ID].&amp;[202]" c="202"/>
              <i n="[mmmm].[ID].&amp;[203]" c="203"/>
              <i n="[mmmm].[ID].&amp;[204]" c="204"/>
              <i n="[mmmm].[ID].&amp;[205]" c="205"/>
              <i n="[mmmm].[ID].&amp;[206]" c="206"/>
              <i n="[mmmm].[ID].&amp;[207]" c="207"/>
              <i n="[mmmm].[ID].&amp;[208]" c="208"/>
              <i n="[mmmm].[ID].&amp;[209]" c="209"/>
              <i n="[mmmm].[ID].&amp;[210]" c="210"/>
              <i n="[mmmm].[ID].&amp;[211]" c="211"/>
              <i n="[mmmm].[ID].&amp;[212]" c="212"/>
              <i n="[mmmm].[ID].&amp;[213]" c="213"/>
              <i n="[mmmm].[ID].&amp;[214]" c="214"/>
              <i n="[mmmm].[ID].&amp;[215]" c="215"/>
              <i n="[mmmm].[ID].&amp;[216]" c="216"/>
              <i n="[mmmm].[ID].&amp;[217]" c="217"/>
              <i n="[mmmm].[ID].&amp;[218]" c="218"/>
              <i n="[mmmm].[ID].&amp;[219]" c="219"/>
              <i n="[mmmm].[ID].&amp;[220]" c="220"/>
              <i n="[mmmm].[ID].&amp;[221]" c="221"/>
              <i n="[mmmm].[ID].&amp;[222]" c="222"/>
              <i n="[mmmm].[ID].&amp;[223]" c="223"/>
              <i n="[mmmm].[ID].&amp;[224]" c="224"/>
              <i n="[mmmm].[ID].&amp;[225]" c="225"/>
              <i n="[mmmm].[ID].&amp;[226]" c="226"/>
              <i n="[mmmm].[ID].&amp;[227]" c="227"/>
              <i n="[mmmm].[ID].&amp;[228]" c="228"/>
              <i n="[mmmm].[ID].&amp;[229]" c="229"/>
              <i n="[mmmm].[ID].&amp;[230]" c="230"/>
              <i n="[mmmm].[ID].&amp;[231]" c="231"/>
              <i n="[mmmm].[ID].&amp;[232]" c="232"/>
              <i n="[mmmm].[ID].&amp;[233]" c="233"/>
              <i n="[mmmm].[ID].&amp;[234]" c="234"/>
              <i n="[mmmm].[ID].&amp;[235]" c="235"/>
              <i n="[mmmm].[ID].&amp;[236]" c="236"/>
              <i n="[mmmm].[ID].&amp;[237]" c="237"/>
              <i n="[mmmm].[ID].&amp;[238]" c="238"/>
              <i n="[mmmm].[ID].&amp;[239]" c="239"/>
              <i n="[mmmm].[ID].&amp;[240]" c="240"/>
              <i n="[mmmm].[ID].&amp;[241]" c="241"/>
              <i n="[mmmm].[ID].&amp;[242]" c="242"/>
              <i n="[mmmm].[ID].&amp;[243]" c="243"/>
              <i n="[mmmm].[ID].&amp;[244]" c="244"/>
              <i n="[mmmm].[ID].&amp;[245]" c="245"/>
              <i n="[mmmm].[ID].&amp;[246]" c="246"/>
              <i n="[mmmm].[ID].&amp;[247]" c="247"/>
              <i n="[mmmm].[ID].&amp;[248]" c="248"/>
              <i n="[mmmm].[ID].&amp;[249]" c="249"/>
              <i n="[mmmm].[ID].&amp;[250]" c="250"/>
              <i n="[mmmm].[ID].&amp;[251]" c="251"/>
              <i n="[mmmm].[ID].&amp;[252]" c="252"/>
              <i n="[mmmm].[ID].&amp;[253]" c="253"/>
              <i n="[mmmm].[ID].&amp;[254]" c="254"/>
              <i n="[mmmm].[ID].&amp;[255]" c="255"/>
              <i n="[mmmm].[ID].&amp;[256]" c="256"/>
              <i n="[mmmm].[ID].&amp;[257]" c="257"/>
              <i n="[mmmm].[ID].&amp;[258]" c="258"/>
              <i n="[mmmm].[ID].&amp;[259]" c="259"/>
              <i n="[mmmm].[ID].&amp;[260]" c="260"/>
              <i n="[mmmm].[ID].&amp;[261]" c="261"/>
              <i n="[mmmm].[ID].&amp;[262]" c="262"/>
              <i n="[mmmm].[ID].&amp;[263]" c="263"/>
              <i n="[mmmm].[ID].&amp;[264]" c="264"/>
              <i n="[mmmm].[ID].&amp;[265]" c="265"/>
              <i n="[mmmm].[ID].&amp;[266]" c="266"/>
              <i n="[mmmm].[ID].&amp;[267]" c="267"/>
              <i n="[mmmm].[ID].&amp;[268]" c="268"/>
              <i n="[mmmm].[ID].&amp;[269]" c="269"/>
              <i n="[mmmm].[ID].&amp;[270]" c="270"/>
              <i n="[mmmm].[ID].&amp;[271]" c="271"/>
              <i n="[mmmm].[ID].&amp;[272]" c="272"/>
              <i n="[mmmm].[ID].&amp;[273]" c="273"/>
              <i n="[mmmm].[ID].&amp;[274]" c="274"/>
              <i n="[mmmm].[ID].&amp;[275]" c="275"/>
              <i n="[mmmm].[ID].&amp;[276]" c="276"/>
              <i n="[mmmm].[ID].&amp;[277]" c="277"/>
              <i n="[mmmm].[ID].&amp;[278]" c="278"/>
              <i n="[mmmm].[ID].&amp;[279]" c="279"/>
              <i n="[mmmm].[ID].&amp;[280]" c="280"/>
              <i n="[mmmm].[ID].&amp;[281]" c="281"/>
              <i n="[mmmm].[ID].&amp;[282]" c="282"/>
              <i n="[mmmm].[ID].&amp;[283]" c="283"/>
              <i n="[mmmm].[ID].&amp;[284]" c="284"/>
              <i n="[mmmm].[ID].&amp;[285]" c="285"/>
              <i n="[mmmm].[ID].&amp;[286]" c="286"/>
              <i n="[mmmm].[ID].&amp;[287]" c="287"/>
              <i n="[mmmm].[ID].&amp;[288]" c="288"/>
              <i n="[mmmm].[ID].&amp;[289]" c="289"/>
              <i n="[mmmm].[ID].&amp;[290]" c="290"/>
              <i n="[mmmm].[ID].&amp;[291]" c="291"/>
              <i n="[mmmm].[ID].&amp;[292]" c="292"/>
              <i n="[mmmm].[ID].&amp;[293]" c="293"/>
              <i n="[mmmm].[ID].&amp;[294]" c="294"/>
              <i n="[mmmm].[ID].&amp;[295]" c="295"/>
              <i n="[mmmm].[ID].&amp;[296]" c="296"/>
              <i n="[mmmm].[ID].&amp;[297]" c="297"/>
              <i n="[mmmm].[ID].&amp;[298]" c="298"/>
              <i n="[mmmm].[ID].&amp;[299]" c="299"/>
              <i n="[mmmm].[ID].&amp;[300]" c="300"/>
              <i n="[mmmm].[ID].&amp;[301]" c="301"/>
              <i n="[mmmm].[ID].&amp;[302]" c="302"/>
              <i n="[mmmm].[ID].&amp;[303]" c="303"/>
              <i n="[mmmm].[ID].&amp;[304]" c="304"/>
              <i n="[mmmm].[ID].&amp;[305]" c="305"/>
              <i n="[mmmm].[ID].&amp;[306]" c="306"/>
              <i n="[mmmm].[ID].&amp;[307]" c="307"/>
              <i n="[mmmm].[ID].&amp;[308]" c="308"/>
              <i n="[mmmm].[ID].&amp;[309]" c="309"/>
              <i n="[mmmm].[ID].&amp;[310]" c="310"/>
              <i n="[mmmm].[ID].&amp;[311]" c="311"/>
              <i n="[mmmm].[ID].&amp;[312]" c="312"/>
              <i n="[mmmm].[ID].&amp;[313]" c="313"/>
              <i n="[mmmm].[ID].&amp;[314]" c="314"/>
              <i n="[mmmm].[ID].&amp;[315]" c="315"/>
              <i n="[mmmm].[ID].&amp;[316]" c="316"/>
              <i n="[mmmm].[ID].&amp;[317]" c="317"/>
              <i n="[mmmm].[ID].&amp;[318]" c="318"/>
              <i n="[mmmm].[ID].&amp;[319]" c="319"/>
              <i n="[mmmm].[ID].&amp;[320]" c="320"/>
              <i n="[mmmm].[ID].&amp;[321]" c="321"/>
              <i n="[mmmm].[ID].&amp;[322]" c="322"/>
              <i n="[mmmm].[ID].&amp;[323]" c="323"/>
              <i n="[mmmm].[ID].&amp;[324]" c="324"/>
              <i n="[mmmm].[ID].&amp;[325]" c="325"/>
              <i n="[mmmm].[ID].&amp;[326]" c="326"/>
              <i n="[mmmm].[ID].&amp;[327]" c="327"/>
              <i n="[mmmm].[ID].&amp;[328]" c="328"/>
              <i n="[mmmm].[ID].&amp;[329]" c="329"/>
              <i n="[mmmm].[ID].&amp;[330]" c="330"/>
              <i n="[mmmm].[ID].&amp;[331]" c="331"/>
              <i n="[mmmm].[ID].&amp;[332]" c="332"/>
              <i n="[mmmm].[ID].&amp;[333]" c="333"/>
              <i n="[mmmm].[ID].&amp;[334]" c="334"/>
              <i n="[mmmm].[ID].&amp;[335]" c="335"/>
              <i n="[mmmm].[ID].&amp;[336]" c="336"/>
              <i n="[mmmm].[ID].&amp;[337]" c="337"/>
              <i n="[mmmm].[ID].&amp;[338]" c="338"/>
              <i n="[mmmm].[ID].&amp;[339]" c="339"/>
              <i n="[mmmm].[ID].&amp;[340]" c="340"/>
              <i n="[mmmm].[ID].&amp;[341]" c="341"/>
              <i n="[mmmm].[ID].&amp;[342]" c="342"/>
              <i n="[mmmm].[ID].&amp;[343]" c="343"/>
              <i n="[mmmm].[ID].&amp;[344]" c="344"/>
              <i n="[mmmm].[ID].&amp;[345]" c="345"/>
              <i n="[mmmm].[ID].&amp;[346]" c="346"/>
              <i n="[mmmm].[ID].&amp;[347]" c="347"/>
              <i n="[mmmm].[ID].&amp;[348]" c="348"/>
              <i n="[mmmm].[ID].&amp;[349]" c="349"/>
              <i n="[mmmm].[ID].&amp;[350]" c="350"/>
              <i n="[mmmm].[ID].&amp;[351]" c="351"/>
              <i n="[mmmm].[ID].&amp;[352]" c="352"/>
              <i n="[mmmm].[ID].&amp;[353]" c="353"/>
              <i n="[mmmm].[ID].&amp;[354]" c="354"/>
              <i n="[mmmm].[ID].&amp;[355]" c="355"/>
              <i n="[mmmm].[ID].&amp;[356]" c="356"/>
              <i n="[mmmm].[ID].&amp;[357]" c="357"/>
              <i n="[mmmm].[ID].&amp;[358]" c="358"/>
              <i n="[mmmm].[ID].&amp;[359]" c="359"/>
              <i n="[mmmm].[ID].&amp;[360]" c="360"/>
              <i n="[mmmm].[ID].&amp;[361]" c="361"/>
              <i n="[mmmm].[ID].&amp;[362]" c="362"/>
              <i n="[mmmm].[ID].&amp;[363]" c="363"/>
              <i n="[mmmm].[ID].&amp;[364]" c="364"/>
              <i n="[mmmm].[ID].&amp;[365]" c="365"/>
              <i n="[mmmm].[ID].&amp;[366]" c="366"/>
              <i n="[mmmm].[ID].&amp;[367]" c="367"/>
              <i n="[mmmm].[ID].&amp;[368]" c="368"/>
              <i n="[mmmm].[ID].&amp;[369]" c="369"/>
              <i n="[mmmm].[ID].&amp;[370]" c="370"/>
              <i n="[mmmm].[ID].&amp;[371]" c="371"/>
              <i n="[mmmm].[ID].&amp;[372]" c="372"/>
              <i n="[mmmm].[ID].&amp;[373]" c="373"/>
              <i n="[mmmm].[ID].&amp;[374]" c="374"/>
              <i n="[mmmm].[ID].&amp;[375]" c="375"/>
              <i n="[mmmm].[ID].&amp;[376]" c="376"/>
              <i n="[mmmm].[ID].&amp;[377]" c="377"/>
              <i n="[mmmm].[ID].&amp;[378]" c="378"/>
              <i n="[mmmm].[ID].&amp;[379]" c="379"/>
              <i n="[mmmm].[ID].&amp;[380]" c="380"/>
              <i n="[mmmm].[ID].&amp;[381]" c="381"/>
              <i n="[mmmm].[ID].&amp;[382]" c="382"/>
              <i n="[mmmm].[ID].&amp;[383]" c="383"/>
              <i n="[mmmm].[ID].&amp;[384]" c="384"/>
              <i n="[mmmm].[ID].&amp;[385]" c="385"/>
              <i n="[mmmm].[ID].&amp;[386]" c="386"/>
              <i n="[mmmm].[ID].&amp;[387]" c="387"/>
              <i n="[mmmm].[ID].&amp;[388]" c="388"/>
              <i n="[mmmm].[ID].&amp;[389]" c="389"/>
              <i n="[mmmm].[ID].&amp;[390]" c="390"/>
              <i n="[mmmm].[ID].&amp;[391]" c="391"/>
              <i n="[mmmm].[ID].&amp;[392]" c="392"/>
              <i n="[mmmm].[ID].&amp;[393]" c="393"/>
              <i n="[mmmm].[ID].&amp;[394]" c="394"/>
              <i n="[mmmm].[ID].&amp;[395]" c="395"/>
              <i n="[mmmm].[ID].&amp;[396]" c="396"/>
              <i n="[mmmm].[ID].&amp;[397]" c="397"/>
              <i n="[mmmm].[ID].&amp;[398]" c="398"/>
              <i n="[mmmm].[ID].&amp;[399]" c="399"/>
              <i n="[mmmm].[ID].&amp;[400]" c="400"/>
              <i n="[mmmm].[ID].&amp;[401]" c="401"/>
              <i n="[mmmm].[ID].&amp;[402]" c="402"/>
              <i n="[mmmm].[ID].&amp;[403]" c="403"/>
              <i n="[mmmm].[ID].&amp;[404]" c="404"/>
              <i n="[mmmm].[ID].&amp;[405]" c="405"/>
              <i n="[mmmm].[ID].&amp;[406]" c="406"/>
              <i n="[mmmm].[ID].&amp;[407]" c="407"/>
              <i n="[mmmm].[ID].&amp;[408]" c="408"/>
              <i n="[mmmm].[ID].&amp;[409]" c="409"/>
              <i n="[mmmm].[ID].&amp;[410]" c="410"/>
              <i n="[mmmm].[ID].&amp;[411]" c="411"/>
              <i n="[mmmm].[ID].&amp;[412]" c="412"/>
              <i n="[mmmm].[ID].&amp;[413]" c="413"/>
              <i n="[mmmm].[ID].&amp;[414]" c="414"/>
              <i n="[mmmm].[ID].&amp;[415]" c="415"/>
              <i n="[mmmm].[ID].&amp;[416]" c="416"/>
              <i n="[mmmm].[ID].&amp;[417]" c="417"/>
              <i n="[mmmm].[ID].&amp;[418]" c="418"/>
              <i n="[mmmm].[ID].&amp;[419]" c="419"/>
              <i n="[mmmm].[ID].&amp;[420]" c="420"/>
              <i n="[mmmm].[ID].&amp;[421]" c="421"/>
              <i n="[mmmm].[ID].&amp;[422]" c="422"/>
              <i n="[mmmm].[ID].&amp;[423]" c="423"/>
              <i n="[mmmm].[ID].&amp;[424]" c="424"/>
              <i n="[mmmm].[ID].&amp;[425]" c="425"/>
              <i n="[mmmm].[ID].&amp;[426]" c="426"/>
              <i n="[mmmm].[ID].&amp;[427]" c="427"/>
              <i n="[mmmm].[ID].&amp;[428]" c="428"/>
              <i n="[mmmm].[ID].&amp;[429]" c="429"/>
              <i n="[mmmm].[ID].&amp;[430]" c="430"/>
              <i n="[mmmm].[ID].&amp;[431]" c="431"/>
              <i n="[mmmm].[ID].&amp;[432]" c="432"/>
              <i n="[mmmm].[ID].&amp;[433]" c="433"/>
              <i n="[mmmm].[ID].&amp;[434]" c="434"/>
              <i n="[mmmm].[ID].&amp;[435]" c="435"/>
              <i n="[mmmm].[ID].&amp;[436]" c="436"/>
              <i n="[mmmm].[ID].&amp;[437]" c="437"/>
              <i n="[mmmm].[ID].&amp;[438]" c="438"/>
              <i n="[mmmm].[ID].&amp;[439]" c="439"/>
              <i n="[mmmm].[ID].&amp;[440]" c="440"/>
              <i n="[mmmm].[ID].&amp;[441]" c="441"/>
              <i n="[mmmm].[ID].&amp;[442]" c="442"/>
              <i n="[mmmm].[ID].&amp;[443]" c="443"/>
              <i n="[mmmm].[ID].&amp;[444]" c="444"/>
              <i n="[mmmm].[ID].&amp;[445]" c="445"/>
              <i n="[mmmm].[ID].&amp;[446]" c="446"/>
              <i n="[mmmm].[ID].&amp;[447]" c="447"/>
              <i n="[mmmm].[ID].&amp;[448]" c="448"/>
              <i n="[mmmm].[ID].&amp;[449]" c="449"/>
              <i n="[mmmm].[ID].&amp;[450]" c="450"/>
              <i n="[mmmm].[ID].&amp;[451]" c="451"/>
              <i n="[mmmm].[ID].&amp;[452]" c="452"/>
              <i n="[mmmm].[ID].&amp;[453]" c="453"/>
              <i n="[mmmm].[ID].&amp;[454]" c="454"/>
              <i n="[mmmm].[ID].&amp;[455]" c="455"/>
              <i n="[mmmm].[ID].&amp;[456]" c="456"/>
              <i n="[mmmm].[ID].&amp;[457]" c="457"/>
              <i n="[mmmm].[ID].&amp;[458]" c="458"/>
              <i n="[mmmm].[ID].&amp;[459]" c="459"/>
              <i n="[mmmm].[ID].&amp;[460]" c="460"/>
              <i n="[mmmm].[ID].&amp;[461]" c="461"/>
              <i n="[mmmm].[ID].&amp;[462]" c="462"/>
              <i n="[mmmm].[ID].&amp;[463]" c="463"/>
              <i n="[mmmm].[ID].&amp;[464]" c="464"/>
              <i n="[mmmm].[ID].&amp;[465]" c="465"/>
              <i n="[mmmm].[ID].&amp;[466]" c="466"/>
              <i n="[mmmm].[ID].&amp;[467]" c="467"/>
              <i n="[mmmm].[ID].&amp;[468]" c="468"/>
              <i n="[mmmm].[ID].&amp;[469]" c="469"/>
              <i n="[mmmm].[ID].&amp;[470]" c="470"/>
              <i n="[mmmm].[ID].&amp;[471]" c="471"/>
              <i n="[mmmm].[ID].&amp;[472]" c="472"/>
              <i n="[mmmm].[ID].&amp;[473]" c="473"/>
              <i n="[mmmm].[ID].&amp;[474]" c="474"/>
              <i n="[mmmm].[ID].&amp;[475]" c="475"/>
              <i n="[mmmm].[ID].&amp;[476]" c="476"/>
              <i n="[mmmm].[ID].&amp;[477]" c="477"/>
              <i n="[mmmm].[ID].&amp;[478]" c="478"/>
              <i n="[mmmm].[ID].&amp;[479]" c="479"/>
              <i n="[mmmm].[ID].&amp;[480]" c="480"/>
              <i n="[mmmm].[ID].&amp;[481]" c="481"/>
              <i n="[mmmm].[ID].&amp;[482]" c="482"/>
              <i n="[mmmm].[ID].&amp;[483]" c="483"/>
              <i n="[mmmm].[ID].&amp;[484]" c="484"/>
              <i n="[mmmm].[ID].&amp;[485]" c="485"/>
              <i n="[mmmm].[ID].&amp;[486]" c="486"/>
              <i n="[mmmm].[ID].&amp;[487]" c="487"/>
              <i n="[mmmm].[ID].&amp;[488]" c="488"/>
              <i n="[mmmm].[ID].&amp;[489]" c="489"/>
              <i n="[mmmm].[ID].&amp;[490]" c="490"/>
              <i n="[mmmm].[ID].&amp;[491]" c="491"/>
              <i n="[mmmm].[ID].&amp;[492]" c="492"/>
              <i n="[mmmm].[ID].&amp;[493]" c="493"/>
              <i n="[mmmm].[ID].&amp;[494]" c="494"/>
              <i n="[mmmm].[ID].&amp;[495]" c="495"/>
              <i n="[mmmm].[ID].&amp;[496]" c="496"/>
              <i n="[mmmm].[ID].&amp;[497]" c="497"/>
              <i n="[mmmm].[ID].&amp;[498]" c="498"/>
              <i n="[mmmm].[ID].&amp;[499]" c="499"/>
              <i n="[mmmm].[ID].&amp;[500]" c="500"/>
              <i n="[mmmm].[ID].&amp;[501]" c="501"/>
              <i n="[mmmm].[ID].&amp;[502]" c="502"/>
              <i n="[mmmm].[ID].&amp;[503]" c="503"/>
              <i n="[mmmm].[ID].&amp;[504]" c="504"/>
              <i n="[mmmm].[ID].&amp;[505]" c="505"/>
              <i n="[mmmm].[ID].&amp;[506]" c="506"/>
              <i n="[mmmm].[ID].&amp;[507]" c="507"/>
              <i n="[mmmm].[ID].&amp;[508]" c="508"/>
              <i n="[mmmm].[ID].&amp;[509]" c="509"/>
              <i n="[mmmm].[ID].&amp;[510]" c="510"/>
              <i n="[mmmm].[ID].&amp;[511]" c="511"/>
              <i n="[mmmm].[ID].&amp;[512]" c="512"/>
              <i n="[mmmm].[ID].&amp;[513]" c="513"/>
              <i n="[mmmm].[ID].&amp;[514]" c="514"/>
              <i n="[mmmm].[ID].&amp;[515]" c="515"/>
              <i n="[mmmm].[ID].&amp;[516]" c="516"/>
              <i n="[mmmm].[ID].&amp;[517]" c="517"/>
              <i n="[mmmm].[ID].&amp;[518]" c="518"/>
              <i n="[mmmm].[ID].&amp;[519]" c="519"/>
              <i n="[mmmm].[ID].&amp;[520]" c="520"/>
              <i n="[mmmm].[ID].&amp;[521]" c="521"/>
              <i n="[mmmm].[ID].&amp;[522]" c="522"/>
              <i n="[mmmm].[ID].&amp;[523]" c="523"/>
              <i n="[mmmm].[ID].&amp;[524]" c="524"/>
              <i n="[mmmm].[ID].&amp;[525]" c="525"/>
              <i n="[mmmm].[ID].&amp;[526]" c="526"/>
              <i n="[mmmm].[ID].&amp;[527]" c="527"/>
              <i n="[mmmm].[ID].&amp;[528]" c="528"/>
              <i n="[mmmm].[ID].&amp;[529]" c="529"/>
              <i n="[mmmm].[ID].&amp;[530]" c="530"/>
              <i n="[mmmm].[ID].&amp;[531]" c="531"/>
              <i n="[mmmm].[ID].&amp;[532]" c="532"/>
              <i n="[mmmm].[ID].&amp;[533]" c="533"/>
              <i n="[mmmm].[ID].&amp;[534]" c="534"/>
              <i n="[mmmm].[ID].&amp;[535]" c="535"/>
              <i n="[mmmm].[ID].&amp;[536]" c="536"/>
              <i n="[mmmm].[ID].&amp;[537]" c="537"/>
              <i n="[mmmm].[ID].&amp;[538]" c="538"/>
              <i n="[mmmm].[ID].&amp;[539]" c="539"/>
              <i n="[mmmm].[ID].&amp;[540]" c="540"/>
              <i n="[mmmm].[ID].&amp;[541]" c="541"/>
              <i n="[mmmm].[ID].&amp;[542]" c="542"/>
              <i n="[mmmm].[ID].&amp;[543]" c="543"/>
              <i n="[mmmm].[ID].&amp;[544]" c="544"/>
              <i n="[mmmm].[ID].&amp;[545]" c="545"/>
              <i n="[mmmm].[ID].&amp;[546]" c="546"/>
              <i n="[mmmm].[ID].&amp;[547]" c="547"/>
              <i n="[mmmm].[ID].&amp;[548]" c="548"/>
              <i n="[mmmm].[ID].&amp;[549]" c="549"/>
              <i n="[mmmm].[ID].&amp;[550]" c="550"/>
              <i n="[mmmm].[ID].&amp;[551]" c="551"/>
              <i n="[mmmm].[ID].&amp;[552]" c="552"/>
              <i n="[mmmm].[ID].&amp;[553]" c="553"/>
              <i n="[mmmm].[ID].&amp;[554]" c="554"/>
              <i n="[mmmm].[ID].&amp;[555]" c="555"/>
              <i n="[mmmm].[ID].&amp;[556]" c="556"/>
              <i n="[mmmm].[ID].&amp;[557]" c="557"/>
              <i n="[mmmm].[ID].&amp;[558]" c="558"/>
              <i n="[mmmm].[ID].&amp;[559]" c="559"/>
              <i n="[mmmm].[ID].&amp;[560]" c="560"/>
              <i n="[mmmm].[ID].&amp;[561]" c="561"/>
              <i n="[mmmm].[ID].&amp;[562]" c="562"/>
              <i n="[mmmm].[ID].&amp;[563]" c="563"/>
              <i n="[mmmm].[ID].&amp;[564]" c="564"/>
              <i n="[mmmm].[ID].&amp;[565]" c="565"/>
              <i n="[mmmm].[ID].&amp;[566]" c="566"/>
              <i n="[mmmm].[ID].&amp;[567]" c="567"/>
              <i n="[mmmm].[ID].&amp;[568]" c="568"/>
              <i n="[mmmm].[ID].&amp;[569]" c="569"/>
              <i n="[mmmm].[ID].&amp;[570]" c="570"/>
              <i n="[mmmm].[ID].&amp;[571]" c="571"/>
              <i n="[mmmm].[ID].&amp;[572]" c="572"/>
              <i n="[mmmm].[ID].&amp;[573]" c="573"/>
              <i n="[mmmm].[ID].&amp;[574]" c="574"/>
              <i n="[mmmm].[ID].&amp;[575]" c="575"/>
              <i n="[mmmm].[ID].&amp;[576]" c="576"/>
              <i n="[mmmm].[ID].&amp;[577]" c="577"/>
              <i n="[mmmm].[ID].&amp;[578]" c="578"/>
              <i n="[mmmm].[ID].&amp;[579]" c="579"/>
              <i n="[mmmm].[ID].&amp;[580]" c="580"/>
              <i n="[mmmm].[ID].&amp;[581]" c="581"/>
              <i n="[mmmm].[ID].&amp;[582]" c="582"/>
              <i n="[mmmm].[ID].&amp;[583]" c="583"/>
              <i n="[mmmm].[ID].&amp;[584]" c="584"/>
              <i n="[mmmm].[ID].&amp;[585]" c="585"/>
              <i n="[mmmm].[ID].&amp;[586]" c="586"/>
              <i n="[mmmm].[ID].&amp;[587]" c="587"/>
              <i n="[mmmm].[ID].&amp;[588]" c="588"/>
              <i n="[mmmm].[ID].&amp;[589]" c="589"/>
              <i n="[mmmm].[ID].&amp;[590]" c="590"/>
              <i n="[mmmm].[ID].&amp;[591]" c="591"/>
              <i n="[mmmm].[ID].&amp;[592]" c="592"/>
              <i n="[mmmm].[ID].&amp;[593]" c="593"/>
              <i n="[mmmm].[ID].&amp;[594]" c="594"/>
              <i n="[mmmm].[ID].&amp;[595]" c="595"/>
              <i n="[mmmm].[ID].&amp;[596]" c="596"/>
              <i n="[mmmm].[ID].&amp;[597]" c="597"/>
              <i n="[mmmm].[ID].&amp;[598]" c="598"/>
              <i n="[mmmm].[ID].&amp;[599]" c="599"/>
              <i n="[mmmm].[ID].&amp;[600]" c="600"/>
              <i n="[mmmm].[ID].&amp;[601]" c="601"/>
              <i n="[mmmm].[ID].&amp;[602]" c="602"/>
              <i n="[mmmm].[ID].&amp;[603]" c="603"/>
              <i n="[mmmm].[ID].&amp;[604]" c="604"/>
              <i n="[mmmm].[ID].&amp;[605]" c="605"/>
              <i n="[mmmm].[ID].&amp;[606]" c="606"/>
              <i n="[mmmm].[ID].&amp;[607]" c="607"/>
              <i n="[mmmm].[ID].&amp;[608]" c="608"/>
              <i n="[mmmm].[ID].&amp;[609]" c="609"/>
              <i n="[mmmm].[ID].&amp;[610]" c="610"/>
              <i n="[mmmm].[ID].&amp;[611]" c="611"/>
              <i n="[mmmm].[ID].&amp;[612]" c="612"/>
              <i n="[mmmm].[ID].&amp;[613]" c="613"/>
              <i n="[mmmm].[ID].&amp;[614]" c="614"/>
              <i n="[mmmm].[ID].&amp;[615]" c="615"/>
              <i n="[mmmm].[ID].&amp;[616]" c="616"/>
              <i n="[mmmm].[ID].&amp;[617]" c="617"/>
              <i n="[mmmm].[ID].&amp;[618]" c="618"/>
              <i n="[mmmm].[ID].&amp;[619]" c="619"/>
              <i n="[mmmm].[ID].&amp;[620]" c="620"/>
              <i n="[mmmm].[ID].&amp;[621]" c="621"/>
              <i n="[mmmm].[ID].&amp;[622]" c="622"/>
              <i n="[mmmm].[ID].&amp;[623]" c="623"/>
              <i n="[mmmm].[ID].&amp;[624]" c="624"/>
              <i n="[mmmm].[ID].&amp;[625]" c="625"/>
              <i n="[mmmm].[ID].&amp;[626]" c="626"/>
              <i n="[mmmm].[ID].&amp;[627]" c="627"/>
              <i n="[mmmm].[ID].&amp;[628]" c="628"/>
              <i n="[mmmm].[ID].&amp;[629]" c="629"/>
              <i n="[mmmm].[ID].&amp;[630]" c="630"/>
              <i n="[mmmm].[ID].&amp;[631]" c="631"/>
              <i n="[mmmm].[ID].&amp;[632]" c="632"/>
              <i n="[mmmm].[ID].&amp;[633]" c="633"/>
              <i n="[mmmm].[ID].&amp;[634]" c="634"/>
              <i n="[mmmm].[ID].&amp;[635]" c="635"/>
              <i n="[mmmm].[ID].&amp;[636]" c="636"/>
              <i n="[mmmm].[ID].&amp;[637]" c="637"/>
              <i n="[mmmm].[ID].&amp;[638]" c="638"/>
              <i n="[mmmm].[ID].&amp;[639]" c="639"/>
              <i n="[mmmm].[ID].&amp;[640]" c="640"/>
              <i n="[mmmm].[ID].&amp;[641]" c="641"/>
              <i n="[mmmm].[ID].&amp;[642]" c="642"/>
              <i n="[mmmm].[ID].&amp;[643]" c="643"/>
              <i n="[mmmm].[ID].&amp;[644]" c="644"/>
              <i n="[mmmm].[ID].&amp;[645]" c="645"/>
              <i n="[mmmm].[ID].&amp;[646]" c="646"/>
              <i n="[mmmm].[ID].&amp;[647]" c="647"/>
              <i n="[mmmm].[ID].&amp;[648]" c="648"/>
              <i n="[mmmm].[ID].&amp;[649]" c="649"/>
              <i n="[mmmm].[ID].&amp;[650]" c="650"/>
              <i n="[mmmm].[ID].&amp;[651]" c="651"/>
              <i n="[mmmm].[ID].&amp;[652]" c="652"/>
              <i n="[mmmm].[ID].&amp;[653]" c="653"/>
              <i n="[mmmm].[ID].&amp;[654]" c="654"/>
              <i n="[mmmm].[ID].&amp;[655]" c="655"/>
              <i n="[mmmm].[ID].&amp;[656]" c="656"/>
              <i n="[mmmm].[ID].&amp;[657]" c="657"/>
              <i n="[mmmm].[ID].&amp;[658]" c="658"/>
              <i n="[mmmm].[ID].&amp;[659]" c="659"/>
              <i n="[mmmm].[ID].&amp;[660]" c="660"/>
              <i n="[mmmm].[ID].&amp;[661]" c="661"/>
              <i n="[mmmm].[ID].&amp;[662]" c="662"/>
              <i n="[mmmm].[ID].&amp;[663]" c="663"/>
              <i n="[mmmm].[ID].&amp;[664]" c="664"/>
              <i n="[mmmm].[ID].&amp;[665]" c="665"/>
              <i n="[mmmm].[ID].&amp;[666]" c="666"/>
              <i n="[mmmm].[ID].&amp;[667]" c="667"/>
              <i n="[mmmm].[ID].&amp;[668]" c="668"/>
              <i n="[mmmm].[ID].&amp;[669]" c="669"/>
              <i n="[mmmm].[ID].&amp;[670]" c="670"/>
              <i n="[mmmm].[ID].&amp;[671]" c="671"/>
              <i n="[mmmm].[ID].&amp;[672]" c="672"/>
              <i n="[mmmm].[ID].&amp;[673]" c="673"/>
              <i n="[mmmm].[ID].&amp;[674]" c="674"/>
              <i n="[mmmm].[ID].&amp;[675]" c="675"/>
              <i n="[mmmm].[ID].&amp;[676]" c="676"/>
              <i n="[mmmm].[ID].&amp;[677]" c="677"/>
              <i n="[mmmm].[ID].&amp;[678]" c="678"/>
              <i n="[mmmm].[ID].&amp;[679]" c="679"/>
              <i n="[mmmm].[ID].&amp;[680]" c="680"/>
              <i n="[mmmm].[ID].&amp;[681]" c="681"/>
              <i n="[mmmm].[ID].&amp;[682]" c="682"/>
              <i n="[mmmm].[ID].&amp;[683]" c="683"/>
              <i n="[mmmm].[ID].&amp;[684]" c="684"/>
              <i n="[mmmm].[ID].&amp;[685]" c="685"/>
              <i n="[mmmm].[ID].&amp;[686]" c="686"/>
              <i n="[mmmm].[ID].&amp;[687]" c="687"/>
              <i n="[mmmm].[ID].&amp;[688]" c="688"/>
              <i n="[mmmm].[ID].&amp;[689]" c="689"/>
            </range>
          </ranges>
        </level>
      </levels>
      <selections count="1">
        <selection n="[mmmm].[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C9D3F4E6-9227-4321-8611-71E10EDFA7C2}" cache="Slicer_Department" caption="Department" startItem="10" level="1" style="Slicer Style 21" rowHeight="241300"/>
  <slicer name="Country " xr10:uid="{8FC843C6-B221-461F-A66B-654FC43E4ED5}" cache="Slicer_Country" caption="Country" level="1" style="Slicer Style 21" rowHeight="241300"/>
  <slicer name="ID" xr10:uid="{C54344DE-1390-4D22-8B3C-7EE13F396946}" cache="Slicer_ID" caption="ID" level="1" style="Slicer Style 2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77D0D7-8250-4F4E-9820-B98C1B503D56}" name="mmmm" displayName="mmmm" ref="A1:P690" tableType="queryTable" totalsRowShown="0" dataDxfId="16">
  <autoFilter ref="A1:P690" xr:uid="{2377D0D7-8250-4F4E-9820-B98C1B503D56}"/>
  <tableColumns count="16">
    <tableColumn id="1" xr3:uid="{750A11F3-2108-496D-A1AA-E8BC555586D9}" uniqueName="1" name="ID" queryTableFieldId="1" dataDxfId="15"/>
    <tableColumn id="2" xr3:uid="{7639C253-34DE-4FAF-AA0D-9B87613A9069}" uniqueName="2" name="First Name" queryTableFieldId="2" dataDxfId="14"/>
    <tableColumn id="3" xr3:uid="{AAAD393C-872A-4CC7-A4DB-9160E0728D95}" uniqueName="3" name="Last Name" queryTableFieldId="3" dataDxfId="13"/>
    <tableColumn id="16" xr3:uid="{80555E84-AC98-4987-9E28-741CD080580F}" uniqueName="16" name="Empolyee name" queryTableFieldId="16" dataDxfId="12">
      <calculatedColumnFormula>_xlfn.CONCAT(mmmm[[#This Row],[First Name]]," ",mmmm[[#This Row],[Last Name]])</calculatedColumnFormula>
    </tableColumn>
    <tableColumn id="4" xr3:uid="{68819320-D19A-4E15-80F8-B3D32CC7F1DE}" uniqueName="4" name="Gender" queryTableFieldId="4" dataDxfId="11"/>
    <tableColumn id="5" xr3:uid="{6E541884-905B-4F68-A9BC-B17311ED6DF4}" uniqueName="5" name="Start Date" queryTableFieldId="5" dataDxfId="10"/>
    <tableColumn id="6" xr3:uid="{A68DBB06-1C25-4120-8307-250B095CF8E1}" uniqueName="6" name="Years" queryTableFieldId="6" dataDxfId="9"/>
    <tableColumn id="7" xr3:uid="{9DAF63EE-7B2C-41C2-B6FD-9D75F25F0D36}" uniqueName="7" name="Department" queryTableFieldId="7" dataDxfId="8"/>
    <tableColumn id="8" xr3:uid="{D0E8F7D6-625F-4C47-B105-2FC7228583B6}" uniqueName="8" name="Country" queryTableFieldId="8" dataDxfId="7"/>
    <tableColumn id="9" xr3:uid="{B895D478-3509-47B2-BF95-40110479D9F0}" uniqueName="9" name="Center" queryTableFieldId="9" dataDxfId="6"/>
    <tableColumn id="10" xr3:uid="{379E3C52-2DC2-40CB-9766-8A16C8E4A489}" uniqueName="10" name="Monthly Salary" queryTableFieldId="10" dataDxfId="5"/>
    <tableColumn id="11" xr3:uid="{95ECAABD-1977-4AB6-944B-AE28431239B9}" uniqueName="11" name="Annual Salary" queryTableFieldId="11" dataDxfId="4"/>
    <tableColumn id="12" xr3:uid="{2CB62446-897A-4F93-A264-63AEF41DB15A}" uniqueName="12" name="Job Rate" queryTableFieldId="12" dataDxfId="3"/>
    <tableColumn id="13" xr3:uid="{39217FE3-45F5-4392-8295-8490C89BCE1C}" uniqueName="13" name="Sick Leaves" queryTableFieldId="13" dataDxfId="2"/>
    <tableColumn id="14" xr3:uid="{3FD3BBB9-336C-4451-AC2A-966676C98432}" uniqueName="14" name="Unpaid Leaves" queryTableFieldId="14" dataDxfId="1"/>
    <tableColumn id="15" xr3:uid="{1CFEABB3-EC46-45B5-8768-49127A05766E}" uniqueName="15" name="Overtime Hours"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323232"/>
      </a:dk2>
      <a:lt2>
        <a:srgbClr val="E3DED1"/>
      </a:lt2>
      <a:accent1>
        <a:srgbClr val="F07F09"/>
      </a:accent1>
      <a:accent2>
        <a:srgbClr val="9F2936"/>
      </a:accent2>
      <a:accent3>
        <a:srgbClr val="002060"/>
      </a:accent3>
      <a:accent4>
        <a:srgbClr val="4E8542"/>
      </a:accent4>
      <a:accent5>
        <a:srgbClr val="604878"/>
      </a:accent5>
      <a:accent6>
        <a:srgbClr val="C1985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7A9BC-EBEF-404C-A6CA-88D0E6885752}">
  <sheetPr>
    <tabColor rgb="FFFF0000"/>
  </sheetPr>
  <dimension ref="A1:P690"/>
  <sheetViews>
    <sheetView workbookViewId="0">
      <selection activeCell="K8" sqref="K8"/>
    </sheetView>
  </sheetViews>
  <sheetFormatPr defaultRowHeight="14.45"/>
  <cols>
    <col min="1" max="1" width="4.85546875" bestFit="1" customWidth="1"/>
    <col min="2" max="2" width="13.140625" bestFit="1" customWidth="1"/>
    <col min="3" max="3" width="14.5703125" bestFit="1" customWidth="1"/>
    <col min="4" max="4" width="22.5703125" bestFit="1" customWidth="1"/>
    <col min="5" max="5" width="9.28515625" style="14" bestFit="1" customWidth="1"/>
    <col min="6" max="6" width="11.5703125" style="10" bestFit="1" customWidth="1"/>
    <col min="7" max="7" width="7.5703125" style="14" bestFit="1" customWidth="1"/>
    <col min="8" max="8" width="25.42578125" style="14" bestFit="1" customWidth="1"/>
    <col min="9" max="9" width="18.85546875" style="14" bestFit="1" customWidth="1"/>
    <col min="10" max="10" width="8.7109375" bestFit="1" customWidth="1"/>
    <col min="11" max="11" width="15.7109375" style="14" bestFit="1" customWidth="1"/>
    <col min="12" max="12" width="14.42578125" style="14" bestFit="1" customWidth="1"/>
    <col min="13" max="13" width="10.140625" style="14" bestFit="1" customWidth="1"/>
    <col min="14" max="14" width="12.28515625" style="14" bestFit="1" customWidth="1"/>
    <col min="15" max="15" width="15.140625" bestFit="1" customWidth="1"/>
    <col min="16" max="16" width="16.42578125" style="14" bestFit="1" customWidth="1"/>
  </cols>
  <sheetData>
    <row r="1" spans="1:16">
      <c r="A1" t="s">
        <v>0</v>
      </c>
      <c r="B1" t="s">
        <v>1</v>
      </c>
      <c r="C1" t="s">
        <v>2</v>
      </c>
      <c r="D1" t="s">
        <v>3</v>
      </c>
      <c r="E1" s="14" t="s">
        <v>4</v>
      </c>
      <c r="F1" s="10" t="s">
        <v>5</v>
      </c>
      <c r="G1" s="14" t="s">
        <v>6</v>
      </c>
      <c r="H1" s="14" t="s">
        <v>7</v>
      </c>
      <c r="I1" s="14" t="s">
        <v>8</v>
      </c>
      <c r="J1" t="s">
        <v>9</v>
      </c>
      <c r="K1" s="14" t="s">
        <v>10</v>
      </c>
      <c r="L1" s="14" t="s">
        <v>11</v>
      </c>
      <c r="M1" s="14" t="s">
        <v>12</v>
      </c>
      <c r="N1" s="14" t="s">
        <v>13</v>
      </c>
      <c r="O1" t="s">
        <v>14</v>
      </c>
      <c r="P1" s="14" t="s">
        <v>15</v>
      </c>
    </row>
    <row r="2" spans="1:16">
      <c r="A2" s="1">
        <v>1</v>
      </c>
      <c r="B2" s="1" t="s">
        <v>16</v>
      </c>
      <c r="C2" s="1" t="s">
        <v>17</v>
      </c>
      <c r="D2" s="1" t="str">
        <f>_xlfn.CONCAT(mmmm[[#This Row],[First Name]]," ",mmmm[[#This Row],[Last Name]])</f>
        <v>Ghadir Hmshw</v>
      </c>
      <c r="E2" s="19" t="s">
        <v>18</v>
      </c>
      <c r="F2" s="11">
        <v>43194</v>
      </c>
      <c r="G2" s="19">
        <v>8</v>
      </c>
      <c r="H2" s="19" t="s">
        <v>19</v>
      </c>
      <c r="I2" s="19" t="s">
        <v>20</v>
      </c>
      <c r="J2" s="1" t="s">
        <v>21</v>
      </c>
      <c r="K2" s="19">
        <v>1560</v>
      </c>
      <c r="L2" s="19">
        <v>18720</v>
      </c>
      <c r="M2" s="19">
        <v>3</v>
      </c>
      <c r="N2" s="19">
        <v>1</v>
      </c>
      <c r="O2" s="1">
        <v>0</v>
      </c>
      <c r="P2" s="19">
        <v>183</v>
      </c>
    </row>
    <row r="3" spans="1:16">
      <c r="A3" s="1">
        <v>2</v>
      </c>
      <c r="B3" s="1" t="s">
        <v>22</v>
      </c>
      <c r="C3" s="1" t="s">
        <v>23</v>
      </c>
      <c r="D3" s="1" t="str">
        <f>_xlfn.CONCAT(mmmm[[#This Row],[First Name]]," ",mmmm[[#This Row],[Last Name]])</f>
        <v>Omar Hishan</v>
      </c>
      <c r="E3" s="19" t="s">
        <v>18</v>
      </c>
      <c r="F3" s="11">
        <v>43972</v>
      </c>
      <c r="G3" s="19">
        <v>6</v>
      </c>
      <c r="H3" s="19" t="s">
        <v>19</v>
      </c>
      <c r="I3" s="19" t="s">
        <v>24</v>
      </c>
      <c r="J3" s="1" t="s">
        <v>21</v>
      </c>
      <c r="K3" s="19">
        <v>3247</v>
      </c>
      <c r="L3" s="19">
        <v>38964</v>
      </c>
      <c r="M3" s="19">
        <v>1</v>
      </c>
      <c r="N3" s="19">
        <v>0</v>
      </c>
      <c r="O3" s="1">
        <v>5</v>
      </c>
      <c r="P3" s="19">
        <v>198</v>
      </c>
    </row>
    <row r="4" spans="1:16">
      <c r="A4" s="1">
        <v>3</v>
      </c>
      <c r="B4" s="1" t="s">
        <v>25</v>
      </c>
      <c r="C4" s="1" t="s">
        <v>26</v>
      </c>
      <c r="D4" s="1" t="str">
        <f>_xlfn.CONCAT(mmmm[[#This Row],[First Name]]," ",mmmm[[#This Row],[Last Name]])</f>
        <v>Ailya Sharaf</v>
      </c>
      <c r="E4" s="19" t="s">
        <v>27</v>
      </c>
      <c r="F4" s="11">
        <v>43006</v>
      </c>
      <c r="G4" s="19">
        <v>8</v>
      </c>
      <c r="H4" s="19" t="s">
        <v>28</v>
      </c>
      <c r="I4" s="19" t="s">
        <v>24</v>
      </c>
      <c r="J4" s="1" t="s">
        <v>21</v>
      </c>
      <c r="K4" s="19">
        <v>2506</v>
      </c>
      <c r="L4" s="19">
        <v>30072</v>
      </c>
      <c r="M4" s="19">
        <v>2</v>
      </c>
      <c r="N4" s="19">
        <v>0</v>
      </c>
      <c r="O4" s="1">
        <v>3</v>
      </c>
      <c r="P4" s="19">
        <v>192</v>
      </c>
    </row>
    <row r="5" spans="1:16">
      <c r="A5" s="1">
        <v>4</v>
      </c>
      <c r="B5" s="1" t="s">
        <v>29</v>
      </c>
      <c r="C5" s="1" t="s">
        <v>30</v>
      </c>
      <c r="D5" s="1" t="str">
        <f>_xlfn.CONCAT(mmmm[[#This Row],[First Name]]," ",mmmm[[#This Row],[Last Name]])</f>
        <v>Lwiy Qbany</v>
      </c>
      <c r="E5" s="19" t="s">
        <v>18</v>
      </c>
      <c r="F5" s="11">
        <v>43326</v>
      </c>
      <c r="G5" s="19">
        <v>7</v>
      </c>
      <c r="H5" s="19" t="s">
        <v>31</v>
      </c>
      <c r="I5" s="19" t="s">
        <v>32</v>
      </c>
      <c r="J5" s="1" t="s">
        <v>33</v>
      </c>
      <c r="K5" s="19">
        <v>1828</v>
      </c>
      <c r="L5" s="19">
        <v>21936</v>
      </c>
      <c r="M5" s="19">
        <v>3</v>
      </c>
      <c r="N5" s="19">
        <v>0</v>
      </c>
      <c r="O5" s="1">
        <v>0</v>
      </c>
      <c r="P5" s="19">
        <v>7</v>
      </c>
    </row>
    <row r="6" spans="1:16">
      <c r="A6" s="1">
        <v>5</v>
      </c>
      <c r="B6" s="1" t="s">
        <v>34</v>
      </c>
      <c r="C6" s="1" t="s">
        <v>35</v>
      </c>
      <c r="D6" s="1" t="str">
        <f>_xlfn.CONCAT(mmmm[[#This Row],[First Name]]," ",mmmm[[#This Row],[Last Name]])</f>
        <v>Ahmad Bikri</v>
      </c>
      <c r="E6" s="19" t="s">
        <v>18</v>
      </c>
      <c r="F6" s="11">
        <v>43901</v>
      </c>
      <c r="G6" s="19">
        <v>6</v>
      </c>
      <c r="H6" s="19" t="s">
        <v>31</v>
      </c>
      <c r="I6" s="19" t="s">
        <v>20</v>
      </c>
      <c r="J6" s="1" t="s">
        <v>33</v>
      </c>
      <c r="K6" s="19">
        <v>970</v>
      </c>
      <c r="L6" s="19">
        <v>11640</v>
      </c>
      <c r="M6" s="19">
        <v>5</v>
      </c>
      <c r="N6" s="19">
        <v>0</v>
      </c>
      <c r="O6" s="1">
        <v>5</v>
      </c>
      <c r="P6" s="19">
        <v>121</v>
      </c>
    </row>
    <row r="7" spans="1:16">
      <c r="A7" s="1">
        <v>6</v>
      </c>
      <c r="B7" s="1" t="s">
        <v>36</v>
      </c>
      <c r="C7" s="1" t="s">
        <v>37</v>
      </c>
      <c r="D7" s="1" t="str">
        <f>_xlfn.CONCAT(mmmm[[#This Row],[First Name]]," ",mmmm[[#This Row],[Last Name]])</f>
        <v>Muhamad Zueitr</v>
      </c>
      <c r="E7" s="19" t="s">
        <v>18</v>
      </c>
      <c r="F7" s="11">
        <v>42402</v>
      </c>
      <c r="G7" s="19">
        <v>10</v>
      </c>
      <c r="H7" s="19" t="s">
        <v>38</v>
      </c>
      <c r="I7" s="19" t="s">
        <v>24</v>
      </c>
      <c r="J7" s="1" t="s">
        <v>39</v>
      </c>
      <c r="K7" s="19">
        <v>2332</v>
      </c>
      <c r="L7" s="19">
        <v>27984</v>
      </c>
      <c r="M7" s="19">
        <v>3</v>
      </c>
      <c r="N7" s="19">
        <v>3</v>
      </c>
      <c r="O7" s="1">
        <v>0</v>
      </c>
      <c r="P7" s="19">
        <v>8</v>
      </c>
    </row>
    <row r="8" spans="1:16">
      <c r="A8" s="1">
        <v>7</v>
      </c>
      <c r="B8" s="1" t="s">
        <v>40</v>
      </c>
      <c r="C8" s="1" t="s">
        <v>41</v>
      </c>
      <c r="D8" s="1" t="str">
        <f>_xlfn.CONCAT(mmmm[[#This Row],[First Name]]," ",mmmm[[#This Row],[Last Name]])</f>
        <v>Iin Alhalaliu</v>
      </c>
      <c r="E8" s="19" t="s">
        <v>27</v>
      </c>
      <c r="F8" s="11">
        <v>43959</v>
      </c>
      <c r="G8" s="19">
        <v>6</v>
      </c>
      <c r="H8" s="19" t="s">
        <v>42</v>
      </c>
      <c r="I8" s="19" t="s">
        <v>32</v>
      </c>
      <c r="J8" s="1" t="s">
        <v>33</v>
      </c>
      <c r="K8" s="19">
        <v>1959</v>
      </c>
      <c r="L8" s="19">
        <v>23508</v>
      </c>
      <c r="M8" s="19">
        <v>3</v>
      </c>
      <c r="N8" s="19">
        <v>6</v>
      </c>
      <c r="O8" s="1">
        <v>0</v>
      </c>
      <c r="P8" s="19">
        <v>116</v>
      </c>
    </row>
    <row r="9" spans="1:16">
      <c r="A9" s="1">
        <v>8</v>
      </c>
      <c r="B9" s="1" t="s">
        <v>36</v>
      </c>
      <c r="C9" s="1" t="s">
        <v>43</v>
      </c>
      <c r="D9" s="1" t="str">
        <f>_xlfn.CONCAT(mmmm[[#This Row],[First Name]]," ",mmmm[[#This Row],[Last Name]])</f>
        <v>Muhamad Alaya</v>
      </c>
      <c r="E9" s="19" t="s">
        <v>18</v>
      </c>
      <c r="F9" s="11">
        <v>43141</v>
      </c>
      <c r="G9" s="19">
        <v>8</v>
      </c>
      <c r="H9" s="19" t="s">
        <v>44</v>
      </c>
      <c r="I9" s="19" t="s">
        <v>20</v>
      </c>
      <c r="J9" s="1" t="s">
        <v>33</v>
      </c>
      <c r="K9" s="19">
        <v>3394</v>
      </c>
      <c r="L9" s="19">
        <v>40728</v>
      </c>
      <c r="M9" s="19">
        <v>5</v>
      </c>
      <c r="N9" s="19">
        <v>0</v>
      </c>
      <c r="O9" s="1">
        <v>0</v>
      </c>
      <c r="P9" s="19">
        <v>7</v>
      </c>
    </row>
    <row r="10" spans="1:16">
      <c r="A10" s="1">
        <v>9</v>
      </c>
      <c r="B10" s="1" t="s">
        <v>45</v>
      </c>
      <c r="C10" s="1" t="s">
        <v>46</v>
      </c>
      <c r="D10" s="1" t="str">
        <f>_xlfn.CONCAT(mmmm[[#This Row],[First Name]]," ",mmmm[[#This Row],[Last Name]])</f>
        <v>Susin Almilat</v>
      </c>
      <c r="E10" s="19" t="s">
        <v>27</v>
      </c>
      <c r="F10" s="11">
        <v>43170</v>
      </c>
      <c r="G10" s="19">
        <v>8</v>
      </c>
      <c r="H10" s="19" t="s">
        <v>47</v>
      </c>
      <c r="I10" s="19" t="s">
        <v>20</v>
      </c>
      <c r="J10" s="1" t="s">
        <v>39</v>
      </c>
      <c r="K10" s="19">
        <v>1479</v>
      </c>
      <c r="L10" s="19">
        <v>17748</v>
      </c>
      <c r="M10" s="19">
        <v>4.5</v>
      </c>
      <c r="N10" s="19">
        <v>0</v>
      </c>
      <c r="O10" s="1">
        <v>0</v>
      </c>
      <c r="P10" s="19">
        <v>105</v>
      </c>
    </row>
    <row r="11" spans="1:16">
      <c r="A11" s="1">
        <v>10</v>
      </c>
      <c r="B11" s="1" t="s">
        <v>36</v>
      </c>
      <c r="C11" s="1" t="s">
        <v>48</v>
      </c>
      <c r="D11" s="1" t="str">
        <f>_xlfn.CONCAT(mmmm[[#This Row],[First Name]]," ",mmmm[[#This Row],[Last Name]])</f>
        <v>Muhamad Alrifaei</v>
      </c>
      <c r="E11" s="19" t="s">
        <v>18</v>
      </c>
      <c r="F11" s="11">
        <v>43833</v>
      </c>
      <c r="G11" s="19">
        <v>6</v>
      </c>
      <c r="H11" s="19" t="s">
        <v>44</v>
      </c>
      <c r="I11" s="19" t="s">
        <v>20</v>
      </c>
      <c r="J11" s="1" t="s">
        <v>33</v>
      </c>
      <c r="K11" s="19">
        <v>1186</v>
      </c>
      <c r="L11" s="19">
        <v>14232</v>
      </c>
      <c r="M11" s="19">
        <v>4.5</v>
      </c>
      <c r="N11" s="19">
        <v>1</v>
      </c>
      <c r="O11" s="1">
        <v>0</v>
      </c>
      <c r="P11" s="19">
        <v>153</v>
      </c>
    </row>
    <row r="12" spans="1:16">
      <c r="A12" s="1">
        <v>11</v>
      </c>
      <c r="B12" s="1" t="s">
        <v>36</v>
      </c>
      <c r="C12" s="1" t="s">
        <v>49</v>
      </c>
      <c r="D12" s="1" t="str">
        <f>_xlfn.CONCAT(mmmm[[#This Row],[First Name]]," ",mmmm[[#This Row],[Last Name]])</f>
        <v>Muhamad Alqadah</v>
      </c>
      <c r="E12" s="19" t="s">
        <v>18</v>
      </c>
      <c r="F12" s="11">
        <v>43116</v>
      </c>
      <c r="G12" s="19">
        <v>8</v>
      </c>
      <c r="H12" s="19" t="s">
        <v>31</v>
      </c>
      <c r="I12" s="19" t="s">
        <v>50</v>
      </c>
      <c r="J12" s="1" t="s">
        <v>33</v>
      </c>
      <c r="K12" s="19">
        <v>1485</v>
      </c>
      <c r="L12" s="19">
        <v>17820</v>
      </c>
      <c r="M12" s="19">
        <v>2</v>
      </c>
      <c r="N12" s="19">
        <v>5</v>
      </c>
      <c r="O12" s="1">
        <v>0</v>
      </c>
      <c r="P12" s="19">
        <v>12</v>
      </c>
    </row>
    <row r="13" spans="1:16">
      <c r="A13" s="1">
        <v>12</v>
      </c>
      <c r="B13" s="1" t="s">
        <v>36</v>
      </c>
      <c r="C13" s="1" t="s">
        <v>51</v>
      </c>
      <c r="D13" s="1" t="str">
        <f>_xlfn.CONCAT(mmmm[[#This Row],[First Name]]," ",mmmm[[#This Row],[Last Name]])</f>
        <v>Muhamad Iad</v>
      </c>
      <c r="E13" s="19" t="s">
        <v>18</v>
      </c>
      <c r="F13" s="11">
        <v>43300</v>
      </c>
      <c r="G13" s="19">
        <v>8</v>
      </c>
      <c r="H13" s="19" t="s">
        <v>52</v>
      </c>
      <c r="I13" s="19" t="s">
        <v>20</v>
      </c>
      <c r="J13" s="1" t="s">
        <v>33</v>
      </c>
      <c r="K13" s="19">
        <v>2016</v>
      </c>
      <c r="L13" s="19">
        <v>24192</v>
      </c>
      <c r="M13" s="19">
        <v>1</v>
      </c>
      <c r="N13" s="19">
        <v>2</v>
      </c>
      <c r="O13" s="1">
        <v>0</v>
      </c>
      <c r="P13" s="19">
        <v>70</v>
      </c>
    </row>
    <row r="14" spans="1:16">
      <c r="A14" s="1">
        <v>13</v>
      </c>
      <c r="B14" s="1" t="s">
        <v>53</v>
      </c>
      <c r="C14" s="1" t="s">
        <v>54</v>
      </c>
      <c r="D14" s="1" t="str">
        <f>_xlfn.CONCAT(mmmm[[#This Row],[First Name]]," ",mmmm[[#This Row],[Last Name]])</f>
        <v>Razaan Nasif</v>
      </c>
      <c r="E14" s="19" t="s">
        <v>27</v>
      </c>
      <c r="F14" s="11">
        <v>43415</v>
      </c>
      <c r="G14" s="19">
        <v>7</v>
      </c>
      <c r="H14" s="19" t="s">
        <v>55</v>
      </c>
      <c r="I14" s="19" t="s">
        <v>20</v>
      </c>
      <c r="J14" s="1" t="s">
        <v>33</v>
      </c>
      <c r="K14" s="19">
        <v>1999</v>
      </c>
      <c r="L14" s="19">
        <v>23988</v>
      </c>
      <c r="M14" s="19">
        <v>5</v>
      </c>
      <c r="N14" s="19">
        <v>6</v>
      </c>
      <c r="O14" s="1">
        <v>0</v>
      </c>
      <c r="P14" s="19">
        <v>85</v>
      </c>
    </row>
    <row r="15" spans="1:16">
      <c r="A15" s="1">
        <v>14</v>
      </c>
      <c r="B15" s="1" t="s">
        <v>56</v>
      </c>
      <c r="C15" s="1" t="s">
        <v>57</v>
      </c>
      <c r="D15" s="1" t="str">
        <f>_xlfn.CONCAT(mmmm[[#This Row],[First Name]]," ",mmmm[[#This Row],[Last Name]])</f>
        <v>Iilian Dbs</v>
      </c>
      <c r="E15" s="19" t="s">
        <v>27</v>
      </c>
      <c r="F15" s="11">
        <v>42430</v>
      </c>
      <c r="G15" s="19">
        <v>10</v>
      </c>
      <c r="H15" s="19" t="s">
        <v>55</v>
      </c>
      <c r="I15" s="19" t="s">
        <v>32</v>
      </c>
      <c r="J15" s="1" t="s">
        <v>39</v>
      </c>
      <c r="K15" s="19">
        <v>3404</v>
      </c>
      <c r="L15" s="19">
        <v>40848</v>
      </c>
      <c r="M15" s="19">
        <v>5</v>
      </c>
      <c r="N15" s="19">
        <v>1</v>
      </c>
      <c r="O15" s="1">
        <v>0</v>
      </c>
      <c r="P15" s="19">
        <v>8</v>
      </c>
    </row>
    <row r="16" spans="1:16">
      <c r="A16" s="1">
        <v>15</v>
      </c>
      <c r="B16" s="1" t="s">
        <v>58</v>
      </c>
      <c r="C16" s="1" t="s">
        <v>59</v>
      </c>
      <c r="D16" s="1" t="str">
        <f>_xlfn.CONCAT(mmmm[[#This Row],[First Name]]," ",mmmm[[#This Row],[Last Name]])</f>
        <v>Bayan Qdw</v>
      </c>
      <c r="E16" s="19" t="s">
        <v>27</v>
      </c>
      <c r="F16" s="11">
        <v>43438</v>
      </c>
      <c r="G16" s="19">
        <v>7</v>
      </c>
      <c r="H16" s="19" t="s">
        <v>60</v>
      </c>
      <c r="I16" s="19" t="s">
        <v>20</v>
      </c>
      <c r="J16" s="1" t="s">
        <v>33</v>
      </c>
      <c r="K16" s="19">
        <v>889</v>
      </c>
      <c r="L16" s="19">
        <v>10668</v>
      </c>
      <c r="M16" s="19">
        <v>3</v>
      </c>
      <c r="N16" s="19">
        <v>1</v>
      </c>
      <c r="O16" s="1">
        <v>1</v>
      </c>
      <c r="P16" s="19">
        <v>8</v>
      </c>
    </row>
    <row r="17" spans="1:16">
      <c r="A17" s="1">
        <v>16</v>
      </c>
      <c r="B17" s="1" t="s">
        <v>61</v>
      </c>
      <c r="C17" s="1" t="s">
        <v>36</v>
      </c>
      <c r="D17" s="1" t="str">
        <f>_xlfn.CONCAT(mmmm[[#This Row],[First Name]]," ",mmmm[[#This Row],[Last Name]])</f>
        <v>Alaa Muhamad</v>
      </c>
      <c r="E17" s="19" t="s">
        <v>18</v>
      </c>
      <c r="F17" s="11">
        <v>43745</v>
      </c>
      <c r="G17" s="19">
        <v>6</v>
      </c>
      <c r="H17" s="19" t="s">
        <v>42</v>
      </c>
      <c r="I17" s="19" t="s">
        <v>20</v>
      </c>
      <c r="J17" s="1" t="s">
        <v>62</v>
      </c>
      <c r="K17" s="19">
        <v>930</v>
      </c>
      <c r="L17" s="19">
        <v>11160</v>
      </c>
      <c r="M17" s="19">
        <v>3</v>
      </c>
      <c r="N17" s="19">
        <v>0</v>
      </c>
      <c r="O17" s="1">
        <v>0</v>
      </c>
      <c r="P17" s="19">
        <v>77</v>
      </c>
    </row>
    <row r="18" spans="1:16">
      <c r="A18" s="1">
        <v>17</v>
      </c>
      <c r="B18" s="1" t="s">
        <v>63</v>
      </c>
      <c r="C18" s="1" t="s">
        <v>64</v>
      </c>
      <c r="D18" s="1" t="str">
        <f>_xlfn.CONCAT(mmmm[[#This Row],[First Name]]," ",mmmm[[#This Row],[Last Name]])</f>
        <v>Sandra Aljurmqaniu</v>
      </c>
      <c r="E18" s="19" t="s">
        <v>27</v>
      </c>
      <c r="F18" s="11">
        <v>42517</v>
      </c>
      <c r="G18" s="19">
        <v>10</v>
      </c>
      <c r="H18" s="19" t="s">
        <v>44</v>
      </c>
      <c r="I18" s="19" t="s">
        <v>24</v>
      </c>
      <c r="J18" s="1" t="s">
        <v>21</v>
      </c>
      <c r="K18" s="19">
        <v>3149</v>
      </c>
      <c r="L18" s="19">
        <v>37788</v>
      </c>
      <c r="M18" s="19">
        <v>4.5</v>
      </c>
      <c r="N18" s="19">
        <v>0</v>
      </c>
      <c r="O18" s="1">
        <v>0</v>
      </c>
      <c r="P18" s="19">
        <v>93</v>
      </c>
    </row>
    <row r="19" spans="1:16">
      <c r="A19" s="1">
        <v>18</v>
      </c>
      <c r="B19" s="1" t="s">
        <v>65</v>
      </c>
      <c r="C19" s="1" t="s">
        <v>66</v>
      </c>
      <c r="D19" s="1" t="str">
        <f>_xlfn.CONCAT(mmmm[[#This Row],[First Name]]," ",mmmm[[#This Row],[Last Name]])</f>
        <v>Farahad Husayn</v>
      </c>
      <c r="E19" s="19" t="s">
        <v>18</v>
      </c>
      <c r="F19" s="11">
        <v>43232</v>
      </c>
      <c r="G19" s="19">
        <v>8</v>
      </c>
      <c r="H19" s="19" t="s">
        <v>19</v>
      </c>
      <c r="I19" s="19" t="s">
        <v>32</v>
      </c>
      <c r="J19" s="1" t="s">
        <v>21</v>
      </c>
      <c r="K19" s="19">
        <v>1295</v>
      </c>
      <c r="L19" s="19">
        <v>15540</v>
      </c>
      <c r="M19" s="19">
        <v>3</v>
      </c>
      <c r="N19" s="19">
        <v>4</v>
      </c>
      <c r="O19" s="1">
        <v>0</v>
      </c>
      <c r="P19" s="19">
        <v>153</v>
      </c>
    </row>
    <row r="20" spans="1:16">
      <c r="A20" s="1">
        <v>19</v>
      </c>
      <c r="B20" s="1" t="s">
        <v>67</v>
      </c>
      <c r="C20" s="1" t="s">
        <v>68</v>
      </c>
      <c r="D20" s="1" t="str">
        <f>_xlfn.CONCAT(mmmm[[#This Row],[First Name]]," ",mmmm[[#This Row],[Last Name]])</f>
        <v>Ahed Salim</v>
      </c>
      <c r="E20" s="19" t="s">
        <v>27</v>
      </c>
      <c r="F20" s="11">
        <v>43214</v>
      </c>
      <c r="G20" s="19">
        <v>8</v>
      </c>
      <c r="H20" s="19" t="s">
        <v>19</v>
      </c>
      <c r="I20" s="19" t="s">
        <v>32</v>
      </c>
      <c r="J20" s="1" t="s">
        <v>62</v>
      </c>
      <c r="K20" s="19">
        <v>2162</v>
      </c>
      <c r="L20" s="19">
        <v>25944</v>
      </c>
      <c r="M20" s="19">
        <v>3</v>
      </c>
      <c r="N20" s="19">
        <v>0</v>
      </c>
      <c r="O20" s="1">
        <v>0</v>
      </c>
      <c r="P20" s="19">
        <v>8</v>
      </c>
    </row>
    <row r="21" spans="1:16">
      <c r="A21" s="1">
        <v>20</v>
      </c>
      <c r="B21" s="1" t="s">
        <v>69</v>
      </c>
      <c r="C21" s="1" t="s">
        <v>70</v>
      </c>
      <c r="D21" s="1" t="str">
        <f>_xlfn.CONCAT(mmmm[[#This Row],[First Name]]," ",mmmm[[#This Row],[Last Name]])</f>
        <v>Ayham Tutwnji</v>
      </c>
      <c r="E21" s="19" t="s">
        <v>18</v>
      </c>
      <c r="F21" s="11">
        <v>43740</v>
      </c>
      <c r="G21" s="19">
        <v>6</v>
      </c>
      <c r="H21" s="19" t="s">
        <v>38</v>
      </c>
      <c r="I21" s="19" t="s">
        <v>32</v>
      </c>
      <c r="J21" s="1" t="s">
        <v>21</v>
      </c>
      <c r="K21" s="19">
        <v>2180</v>
      </c>
      <c r="L21" s="19">
        <v>26160</v>
      </c>
      <c r="M21" s="19">
        <v>2</v>
      </c>
      <c r="N21" s="19">
        <v>6</v>
      </c>
      <c r="O21" s="1">
        <v>0</v>
      </c>
      <c r="P21" s="19">
        <v>10</v>
      </c>
    </row>
    <row r="22" spans="1:16">
      <c r="A22" s="1">
        <v>21</v>
      </c>
      <c r="B22" s="1" t="s">
        <v>71</v>
      </c>
      <c r="C22" s="1" t="s">
        <v>72</v>
      </c>
      <c r="D22" s="1" t="str">
        <f>_xlfn.CONCAT(mmmm[[#This Row],[First Name]]," ",mmmm[[#This Row],[Last Name]])</f>
        <v>Samir Alsafdi</v>
      </c>
      <c r="E22" s="19" t="s">
        <v>18</v>
      </c>
      <c r="F22" s="11">
        <v>44168</v>
      </c>
      <c r="G22" s="19">
        <v>5</v>
      </c>
      <c r="H22" s="19" t="s">
        <v>44</v>
      </c>
      <c r="I22" s="19" t="s">
        <v>20</v>
      </c>
      <c r="J22" s="1" t="s">
        <v>33</v>
      </c>
      <c r="K22" s="19">
        <v>1475</v>
      </c>
      <c r="L22" s="19">
        <v>17700</v>
      </c>
      <c r="M22" s="19">
        <v>5</v>
      </c>
      <c r="N22" s="19">
        <v>0</v>
      </c>
      <c r="O22" s="1">
        <v>0</v>
      </c>
      <c r="P22" s="19">
        <v>98</v>
      </c>
    </row>
    <row r="23" spans="1:16">
      <c r="A23" s="1">
        <v>22</v>
      </c>
      <c r="B23" s="1" t="s">
        <v>73</v>
      </c>
      <c r="C23" s="1" t="s">
        <v>74</v>
      </c>
      <c r="D23" s="1" t="str">
        <f>_xlfn.CONCAT(mmmm[[#This Row],[First Name]]," ",mmmm[[#This Row],[Last Name]])</f>
        <v>Bilal Jalal</v>
      </c>
      <c r="E23" s="19" t="s">
        <v>18</v>
      </c>
      <c r="F23" s="11">
        <v>43473</v>
      </c>
      <c r="G23" s="19">
        <v>7</v>
      </c>
      <c r="H23" s="19" t="s">
        <v>75</v>
      </c>
      <c r="I23" s="19" t="s">
        <v>20</v>
      </c>
      <c r="J23" s="1" t="s">
        <v>33</v>
      </c>
      <c r="K23" s="19">
        <v>1290</v>
      </c>
      <c r="L23" s="19">
        <v>15480</v>
      </c>
      <c r="M23" s="19">
        <v>3</v>
      </c>
      <c r="N23" s="19">
        <v>4</v>
      </c>
      <c r="O23" s="1">
        <v>0</v>
      </c>
      <c r="P23" s="19">
        <v>109</v>
      </c>
    </row>
    <row r="24" spans="1:16">
      <c r="A24" s="1">
        <v>23</v>
      </c>
      <c r="B24" s="1" t="s">
        <v>76</v>
      </c>
      <c r="C24" s="1" t="s">
        <v>77</v>
      </c>
      <c r="D24" s="1" t="str">
        <f>_xlfn.CONCAT(mmmm[[#This Row],[First Name]]," ",mmmm[[#This Row],[Last Name]])</f>
        <v>Riad Sahalul</v>
      </c>
      <c r="E24" s="19" t="s">
        <v>18</v>
      </c>
      <c r="F24" s="11">
        <v>43783</v>
      </c>
      <c r="G24" s="19">
        <v>6</v>
      </c>
      <c r="H24" s="19" t="s">
        <v>78</v>
      </c>
      <c r="I24" s="19" t="s">
        <v>24</v>
      </c>
      <c r="J24" s="1" t="s">
        <v>33</v>
      </c>
      <c r="K24" s="19">
        <v>1764</v>
      </c>
      <c r="L24" s="19">
        <v>21168</v>
      </c>
      <c r="M24" s="19">
        <v>3</v>
      </c>
      <c r="N24" s="19">
        <v>0</v>
      </c>
      <c r="O24" s="1">
        <v>0</v>
      </c>
      <c r="P24" s="19">
        <v>111</v>
      </c>
    </row>
    <row r="25" spans="1:16">
      <c r="A25" s="1">
        <v>24</v>
      </c>
      <c r="B25" s="1" t="s">
        <v>34</v>
      </c>
      <c r="C25" s="1" t="s">
        <v>34</v>
      </c>
      <c r="D25" s="1" t="str">
        <f>_xlfn.CONCAT(mmmm[[#This Row],[First Name]]," ",mmmm[[#This Row],[Last Name]])</f>
        <v>Ahmad Ahmad</v>
      </c>
      <c r="E25" s="19" t="s">
        <v>18</v>
      </c>
      <c r="F25" s="11">
        <v>43755</v>
      </c>
      <c r="G25" s="19">
        <v>6</v>
      </c>
      <c r="H25" s="19" t="s">
        <v>79</v>
      </c>
      <c r="I25" s="19" t="s">
        <v>24</v>
      </c>
      <c r="J25" s="1" t="s">
        <v>21</v>
      </c>
      <c r="K25" s="19">
        <v>2682</v>
      </c>
      <c r="L25" s="19">
        <v>32184</v>
      </c>
      <c r="M25" s="19">
        <v>4.5</v>
      </c>
      <c r="N25" s="19">
        <v>1</v>
      </c>
      <c r="O25" s="1">
        <v>0</v>
      </c>
      <c r="P25" s="19">
        <v>32</v>
      </c>
    </row>
    <row r="26" spans="1:16">
      <c r="A26" s="1">
        <v>25</v>
      </c>
      <c r="B26" s="1" t="s">
        <v>36</v>
      </c>
      <c r="C26" s="1" t="s">
        <v>80</v>
      </c>
      <c r="D26" s="1" t="str">
        <f>_xlfn.CONCAT(mmmm[[#This Row],[First Name]]," ",mmmm[[#This Row],[Last Name]])</f>
        <v>Muhamad Altarah</v>
      </c>
      <c r="E26" s="19" t="s">
        <v>18</v>
      </c>
      <c r="F26" s="11">
        <v>44178</v>
      </c>
      <c r="G26" s="19">
        <v>5</v>
      </c>
      <c r="H26" s="19" t="s">
        <v>52</v>
      </c>
      <c r="I26" s="19" t="s">
        <v>20</v>
      </c>
      <c r="J26" s="1" t="s">
        <v>39</v>
      </c>
      <c r="K26" s="19">
        <v>3044</v>
      </c>
      <c r="L26" s="19">
        <v>36528</v>
      </c>
      <c r="M26" s="19">
        <v>3</v>
      </c>
      <c r="N26" s="19">
        <v>6</v>
      </c>
      <c r="O26" s="1">
        <v>0</v>
      </c>
      <c r="P26" s="19">
        <v>94</v>
      </c>
    </row>
    <row r="27" spans="1:16">
      <c r="A27" s="1">
        <v>26</v>
      </c>
      <c r="B27" s="1" t="s">
        <v>81</v>
      </c>
      <c r="C27" s="1" t="s">
        <v>82</v>
      </c>
      <c r="D27" s="1" t="str">
        <f>_xlfn.CONCAT(mmmm[[#This Row],[First Name]]," ",mmmm[[#This Row],[Last Name]])</f>
        <v>Lwna Abu</v>
      </c>
      <c r="E27" s="19" t="s">
        <v>27</v>
      </c>
      <c r="F27" s="11">
        <v>44045</v>
      </c>
      <c r="G27" s="19">
        <v>6</v>
      </c>
      <c r="H27" s="19" t="s">
        <v>38</v>
      </c>
      <c r="I27" s="19" t="s">
        <v>20</v>
      </c>
      <c r="J27" s="1" t="s">
        <v>33</v>
      </c>
      <c r="K27" s="19">
        <v>890</v>
      </c>
      <c r="L27" s="19">
        <v>10680</v>
      </c>
      <c r="M27" s="19">
        <v>4.5</v>
      </c>
      <c r="N27" s="19">
        <v>0</v>
      </c>
      <c r="O27" s="1">
        <v>0</v>
      </c>
      <c r="P27" s="19">
        <v>13</v>
      </c>
    </row>
    <row r="28" spans="1:16">
      <c r="A28" s="1">
        <v>27</v>
      </c>
      <c r="B28" s="1" t="s">
        <v>74</v>
      </c>
      <c r="C28" s="1" t="s">
        <v>83</v>
      </c>
      <c r="D28" s="1" t="str">
        <f>_xlfn.CONCAT(mmmm[[#This Row],[First Name]]," ",mmmm[[#This Row],[Last Name]])</f>
        <v>Jalal Almuluhi</v>
      </c>
      <c r="E28" s="19" t="s">
        <v>18</v>
      </c>
      <c r="F28" s="11">
        <v>43437</v>
      </c>
      <c r="G28" s="19">
        <v>7</v>
      </c>
      <c r="H28" s="19" t="s">
        <v>19</v>
      </c>
      <c r="I28" s="19" t="s">
        <v>20</v>
      </c>
      <c r="J28" s="1" t="s">
        <v>21</v>
      </c>
      <c r="K28" s="19">
        <v>2207</v>
      </c>
      <c r="L28" s="19">
        <v>26484</v>
      </c>
      <c r="M28" s="19">
        <v>5</v>
      </c>
      <c r="N28" s="19">
        <v>0</v>
      </c>
      <c r="O28" s="1">
        <v>0</v>
      </c>
      <c r="P28" s="19">
        <v>70</v>
      </c>
    </row>
    <row r="29" spans="1:16">
      <c r="A29" s="1">
        <v>28</v>
      </c>
      <c r="B29" s="1" t="s">
        <v>84</v>
      </c>
      <c r="C29" s="1" t="s">
        <v>85</v>
      </c>
      <c r="D29" s="1" t="str">
        <f>_xlfn.CONCAT(mmmm[[#This Row],[First Name]]," ",mmmm[[#This Row],[Last Name]])</f>
        <v>Rana Mius</v>
      </c>
      <c r="E29" s="19" t="s">
        <v>27</v>
      </c>
      <c r="F29" s="11">
        <v>43530</v>
      </c>
      <c r="G29" s="19">
        <v>7</v>
      </c>
      <c r="H29" s="19" t="s">
        <v>31</v>
      </c>
      <c r="I29" s="19" t="s">
        <v>24</v>
      </c>
      <c r="J29" s="1" t="s">
        <v>21</v>
      </c>
      <c r="K29" s="19">
        <v>2136</v>
      </c>
      <c r="L29" s="19">
        <v>25632</v>
      </c>
      <c r="M29" s="19">
        <v>4.5</v>
      </c>
      <c r="N29" s="19">
        <v>1</v>
      </c>
      <c r="O29" s="1">
        <v>0</v>
      </c>
      <c r="P29" s="19">
        <v>9</v>
      </c>
    </row>
    <row r="30" spans="1:16">
      <c r="A30" s="1">
        <v>29</v>
      </c>
      <c r="B30" s="1" t="s">
        <v>86</v>
      </c>
      <c r="C30" s="1" t="s">
        <v>87</v>
      </c>
      <c r="D30" s="1" t="str">
        <f>_xlfn.CONCAT(mmmm[[#This Row],[First Name]]," ",mmmm[[#This Row],[Last Name]])</f>
        <v>Lina Aljabaan</v>
      </c>
      <c r="E30" s="19" t="s">
        <v>27</v>
      </c>
      <c r="F30" s="11">
        <v>43815</v>
      </c>
      <c r="G30" s="19">
        <v>6</v>
      </c>
      <c r="H30" s="19" t="s">
        <v>19</v>
      </c>
      <c r="I30" s="19" t="s">
        <v>20</v>
      </c>
      <c r="J30" s="1" t="s">
        <v>33</v>
      </c>
      <c r="K30" s="19">
        <v>1161</v>
      </c>
      <c r="L30" s="19">
        <v>13932</v>
      </c>
      <c r="M30" s="19">
        <v>5</v>
      </c>
      <c r="N30" s="19">
        <v>0</v>
      </c>
      <c r="O30" s="1">
        <v>1</v>
      </c>
      <c r="P30" s="19">
        <v>97</v>
      </c>
    </row>
    <row r="31" spans="1:16">
      <c r="A31" s="1">
        <v>30</v>
      </c>
      <c r="B31" s="1" t="s">
        <v>88</v>
      </c>
      <c r="C31" s="1" t="s">
        <v>89</v>
      </c>
      <c r="D31" s="1" t="str">
        <f>_xlfn.CONCAT(mmmm[[#This Row],[First Name]]," ",mmmm[[#This Row],[Last Name]])</f>
        <v>Rami Shanan</v>
      </c>
      <c r="E31" s="19" t="s">
        <v>18</v>
      </c>
      <c r="F31" s="11">
        <v>43690</v>
      </c>
      <c r="G31" s="19">
        <v>6</v>
      </c>
      <c r="H31" s="19" t="s">
        <v>90</v>
      </c>
      <c r="I31" s="19" t="s">
        <v>32</v>
      </c>
      <c r="J31" s="1" t="s">
        <v>21</v>
      </c>
      <c r="K31" s="19">
        <v>830</v>
      </c>
      <c r="L31" s="19">
        <v>9960</v>
      </c>
      <c r="M31" s="19">
        <v>5</v>
      </c>
      <c r="N31" s="19">
        <v>0</v>
      </c>
      <c r="O31" s="1">
        <v>0</v>
      </c>
      <c r="P31" s="19">
        <v>71</v>
      </c>
    </row>
    <row r="32" spans="1:16">
      <c r="A32" s="1">
        <v>31</v>
      </c>
      <c r="B32" s="1" t="s">
        <v>91</v>
      </c>
      <c r="C32" s="1" t="s">
        <v>92</v>
      </c>
      <c r="D32" s="1" t="str">
        <f>_xlfn.CONCAT(mmmm[[#This Row],[First Name]]," ",mmmm[[#This Row],[Last Name]])</f>
        <v>Eala Alhaj</v>
      </c>
      <c r="E32" s="19" t="s">
        <v>27</v>
      </c>
      <c r="F32" s="11">
        <v>43991</v>
      </c>
      <c r="G32" s="19">
        <v>6</v>
      </c>
      <c r="H32" s="19" t="s">
        <v>79</v>
      </c>
      <c r="I32" s="19" t="s">
        <v>24</v>
      </c>
      <c r="J32" s="1" t="s">
        <v>21</v>
      </c>
      <c r="K32" s="19">
        <v>2977</v>
      </c>
      <c r="L32" s="19">
        <v>35724</v>
      </c>
      <c r="M32" s="19">
        <v>5</v>
      </c>
      <c r="N32" s="19">
        <v>0</v>
      </c>
      <c r="O32" s="1">
        <v>0</v>
      </c>
      <c r="P32" s="19">
        <v>100</v>
      </c>
    </row>
    <row r="33" spans="1:16">
      <c r="A33" s="1">
        <v>32</v>
      </c>
      <c r="B33" s="1" t="s">
        <v>93</v>
      </c>
      <c r="C33" s="1" t="s">
        <v>94</v>
      </c>
      <c r="D33" s="1" t="str">
        <f>_xlfn.CONCAT(mmmm[[#This Row],[First Name]]," ",mmmm[[#This Row],[Last Name]])</f>
        <v>Ghalib Zakianiin</v>
      </c>
      <c r="E33" s="19" t="s">
        <v>18</v>
      </c>
      <c r="F33" s="11">
        <v>43604</v>
      </c>
      <c r="G33" s="19">
        <v>7</v>
      </c>
      <c r="H33" s="19" t="s">
        <v>95</v>
      </c>
      <c r="I33" s="19" t="s">
        <v>50</v>
      </c>
      <c r="J33" s="1" t="s">
        <v>39</v>
      </c>
      <c r="K33" s="19">
        <v>3151</v>
      </c>
      <c r="L33" s="19">
        <v>37812</v>
      </c>
      <c r="M33" s="19">
        <v>3</v>
      </c>
      <c r="N33" s="19">
        <v>0</v>
      </c>
      <c r="O33" s="1">
        <v>5</v>
      </c>
      <c r="P33" s="19">
        <v>48</v>
      </c>
    </row>
    <row r="34" spans="1:16">
      <c r="A34" s="1">
        <v>33</v>
      </c>
      <c r="B34" s="1" t="s">
        <v>36</v>
      </c>
      <c r="C34" s="1" t="s">
        <v>96</v>
      </c>
      <c r="D34" s="1" t="str">
        <f>_xlfn.CONCAT(mmmm[[#This Row],[First Name]]," ",mmmm[[#This Row],[Last Name]])</f>
        <v>Muhamad Eurul</v>
      </c>
      <c r="E34" s="19" t="s">
        <v>18</v>
      </c>
      <c r="F34" s="11">
        <v>42858</v>
      </c>
      <c r="G34" s="19">
        <v>9</v>
      </c>
      <c r="H34" s="19" t="s">
        <v>79</v>
      </c>
      <c r="I34" s="19" t="s">
        <v>20</v>
      </c>
      <c r="J34" s="1" t="s">
        <v>39</v>
      </c>
      <c r="K34" s="19">
        <v>1551</v>
      </c>
      <c r="L34" s="19">
        <v>18612</v>
      </c>
      <c r="M34" s="19">
        <v>1</v>
      </c>
      <c r="N34" s="19">
        <v>0</v>
      </c>
      <c r="O34" s="1">
        <v>0</v>
      </c>
      <c r="P34" s="19">
        <v>148</v>
      </c>
    </row>
    <row r="35" spans="1:16">
      <c r="A35" s="1">
        <v>34</v>
      </c>
      <c r="B35" s="1" t="s">
        <v>97</v>
      </c>
      <c r="C35" s="1" t="s">
        <v>98</v>
      </c>
      <c r="D35" s="1" t="str">
        <f>_xlfn.CONCAT(mmmm[[#This Row],[First Name]]," ",mmmm[[#This Row],[Last Name]])</f>
        <v>Eizat Ghanim</v>
      </c>
      <c r="E35" s="19" t="s">
        <v>18</v>
      </c>
      <c r="F35" s="11">
        <v>42907</v>
      </c>
      <c r="G35" s="19">
        <v>9</v>
      </c>
      <c r="H35" s="19" t="s">
        <v>38</v>
      </c>
      <c r="I35" s="19" t="s">
        <v>32</v>
      </c>
      <c r="J35" s="1" t="s">
        <v>62</v>
      </c>
      <c r="K35" s="19">
        <v>2099</v>
      </c>
      <c r="L35" s="19">
        <v>25188</v>
      </c>
      <c r="M35" s="19">
        <v>1</v>
      </c>
      <c r="N35" s="19">
        <v>0</v>
      </c>
      <c r="O35" s="1">
        <v>0</v>
      </c>
      <c r="P35" s="19">
        <v>5</v>
      </c>
    </row>
    <row r="36" spans="1:16">
      <c r="A36" s="1">
        <v>35</v>
      </c>
      <c r="B36" s="1" t="s">
        <v>34</v>
      </c>
      <c r="C36" s="1" t="s">
        <v>99</v>
      </c>
      <c r="D36" s="1" t="str">
        <f>_xlfn.CONCAT(mmmm[[#This Row],[First Name]]," ",mmmm[[#This Row],[Last Name]])</f>
        <v>Ahmad Swyd</v>
      </c>
      <c r="E36" s="19" t="s">
        <v>18</v>
      </c>
      <c r="F36" s="11">
        <v>42767</v>
      </c>
      <c r="G36" s="19">
        <v>9</v>
      </c>
      <c r="H36" s="19" t="s">
        <v>42</v>
      </c>
      <c r="I36" s="19" t="s">
        <v>20</v>
      </c>
      <c r="J36" s="1" t="s">
        <v>39</v>
      </c>
      <c r="K36" s="19">
        <v>808</v>
      </c>
      <c r="L36" s="19">
        <v>9696</v>
      </c>
      <c r="M36" s="19">
        <v>4.5</v>
      </c>
      <c r="N36" s="19">
        <v>1</v>
      </c>
      <c r="O36" s="1">
        <v>0</v>
      </c>
      <c r="P36" s="19">
        <v>7</v>
      </c>
    </row>
    <row r="37" spans="1:16">
      <c r="A37" s="1">
        <v>36</v>
      </c>
      <c r="B37" s="1" t="s">
        <v>36</v>
      </c>
      <c r="C37" s="1" t="s">
        <v>100</v>
      </c>
      <c r="D37" s="1" t="str">
        <f>_xlfn.CONCAT(mmmm[[#This Row],[First Name]]," ",mmmm[[#This Row],[Last Name]])</f>
        <v>Muhamad Aleass</v>
      </c>
      <c r="E37" s="19" t="s">
        <v>18</v>
      </c>
      <c r="F37" s="11">
        <v>43731</v>
      </c>
      <c r="G37" s="19">
        <v>6</v>
      </c>
      <c r="H37" s="19" t="s">
        <v>31</v>
      </c>
      <c r="I37" s="19" t="s">
        <v>24</v>
      </c>
      <c r="J37" s="1" t="s">
        <v>33</v>
      </c>
      <c r="K37" s="19">
        <v>984</v>
      </c>
      <c r="L37" s="19">
        <v>11808</v>
      </c>
      <c r="M37" s="19">
        <v>4.5</v>
      </c>
      <c r="N37" s="19">
        <v>6</v>
      </c>
      <c r="O37" s="1">
        <v>0</v>
      </c>
      <c r="P37" s="19">
        <v>37</v>
      </c>
    </row>
    <row r="38" spans="1:16">
      <c r="A38" s="1">
        <v>37</v>
      </c>
      <c r="B38" s="1" t="s">
        <v>101</v>
      </c>
      <c r="C38" s="1" t="s">
        <v>102</v>
      </c>
      <c r="D38" s="1" t="str">
        <f>_xlfn.CONCAT(mmmm[[#This Row],[First Name]]," ",mmmm[[#This Row],[Last Name]])</f>
        <v>Rima AlAsfar</v>
      </c>
      <c r="E38" s="19" t="s">
        <v>27</v>
      </c>
      <c r="F38" s="11">
        <v>42396</v>
      </c>
      <c r="G38" s="19">
        <v>10</v>
      </c>
      <c r="H38" s="19" t="s">
        <v>79</v>
      </c>
      <c r="I38" s="19" t="s">
        <v>20</v>
      </c>
      <c r="J38" s="1" t="s">
        <v>39</v>
      </c>
      <c r="K38" s="19">
        <v>1011</v>
      </c>
      <c r="L38" s="19">
        <v>12132</v>
      </c>
      <c r="M38" s="19">
        <v>5</v>
      </c>
      <c r="N38" s="19">
        <v>0</v>
      </c>
      <c r="O38" s="1">
        <v>3</v>
      </c>
      <c r="P38" s="19">
        <v>5</v>
      </c>
    </row>
    <row r="39" spans="1:16">
      <c r="A39" s="1">
        <v>38</v>
      </c>
      <c r="B39" s="1" t="s">
        <v>103</v>
      </c>
      <c r="C39" s="1" t="s">
        <v>104</v>
      </c>
      <c r="D39" s="1" t="str">
        <f>_xlfn.CONCAT(mmmm[[#This Row],[First Name]]," ",mmmm[[#This Row],[Last Name]])</f>
        <v>Zayn Aleabdyn Zaetar</v>
      </c>
      <c r="E39" s="19" t="s">
        <v>27</v>
      </c>
      <c r="F39" s="11">
        <v>44164</v>
      </c>
      <c r="G39" s="19">
        <v>5</v>
      </c>
      <c r="H39" s="19" t="s">
        <v>19</v>
      </c>
      <c r="I39" s="19" t="s">
        <v>32</v>
      </c>
      <c r="J39" s="1" t="s">
        <v>21</v>
      </c>
      <c r="K39" s="19">
        <v>2026</v>
      </c>
      <c r="L39" s="19">
        <v>24312</v>
      </c>
      <c r="M39" s="19">
        <v>5</v>
      </c>
      <c r="N39" s="19">
        <v>1</v>
      </c>
      <c r="O39" s="1">
        <v>0</v>
      </c>
      <c r="P39" s="19">
        <v>3</v>
      </c>
    </row>
    <row r="40" spans="1:16">
      <c r="A40" s="1">
        <v>39</v>
      </c>
      <c r="B40" s="1" t="s">
        <v>105</v>
      </c>
      <c r="C40" s="1" t="s">
        <v>106</v>
      </c>
      <c r="D40" s="1" t="str">
        <f>_xlfn.CONCAT(mmmm[[#This Row],[First Name]]," ",mmmm[[#This Row],[Last Name]])</f>
        <v>Hazim Alshshatim</v>
      </c>
      <c r="E40" s="19" t="s">
        <v>18</v>
      </c>
      <c r="F40" s="11">
        <v>43268</v>
      </c>
      <c r="G40" s="19">
        <v>8</v>
      </c>
      <c r="H40" s="19" t="s">
        <v>19</v>
      </c>
      <c r="I40" s="19" t="s">
        <v>20</v>
      </c>
      <c r="J40" s="1" t="s">
        <v>33</v>
      </c>
      <c r="K40" s="19">
        <v>2801</v>
      </c>
      <c r="L40" s="19">
        <v>33612</v>
      </c>
      <c r="M40" s="19">
        <v>3</v>
      </c>
      <c r="N40" s="19">
        <v>0</v>
      </c>
      <c r="O40" s="1">
        <v>0</v>
      </c>
      <c r="P40" s="19">
        <v>9</v>
      </c>
    </row>
    <row r="41" spans="1:16">
      <c r="A41" s="1">
        <v>40</v>
      </c>
      <c r="B41" s="1" t="s">
        <v>107</v>
      </c>
      <c r="C41" s="1" t="s">
        <v>108</v>
      </c>
      <c r="D41" s="1" t="str">
        <f>_xlfn.CONCAT(mmmm[[#This Row],[First Name]]," ",mmmm[[#This Row],[Last Name]])</f>
        <v>Dia Alshahf</v>
      </c>
      <c r="E41" s="19" t="s">
        <v>18</v>
      </c>
      <c r="F41" s="11">
        <v>43722</v>
      </c>
      <c r="G41" s="19">
        <v>6</v>
      </c>
      <c r="H41" s="19" t="s">
        <v>60</v>
      </c>
      <c r="I41" s="19" t="s">
        <v>32</v>
      </c>
      <c r="J41" s="1" t="s">
        <v>33</v>
      </c>
      <c r="K41" s="19">
        <v>3208</v>
      </c>
      <c r="L41" s="19">
        <v>38496</v>
      </c>
      <c r="M41" s="19">
        <v>3</v>
      </c>
      <c r="N41" s="19">
        <v>0</v>
      </c>
      <c r="O41" s="1">
        <v>0</v>
      </c>
      <c r="P41" s="19">
        <v>0</v>
      </c>
    </row>
    <row r="42" spans="1:16">
      <c r="A42" s="1">
        <v>41</v>
      </c>
      <c r="B42" s="1" t="s">
        <v>69</v>
      </c>
      <c r="C42" s="1" t="s">
        <v>109</v>
      </c>
      <c r="D42" s="1" t="str">
        <f>_xlfn.CONCAT(mmmm[[#This Row],[First Name]]," ",mmmm[[#This Row],[Last Name]])</f>
        <v>Ayham Almusaa</v>
      </c>
      <c r="E42" s="19" t="s">
        <v>18</v>
      </c>
      <c r="F42" s="11">
        <v>43581</v>
      </c>
      <c r="G42" s="19">
        <v>7</v>
      </c>
      <c r="H42" s="19" t="s">
        <v>31</v>
      </c>
      <c r="I42" s="19" t="s">
        <v>24</v>
      </c>
      <c r="J42" s="1" t="s">
        <v>62</v>
      </c>
      <c r="K42" s="19">
        <v>2129</v>
      </c>
      <c r="L42" s="19">
        <v>25548</v>
      </c>
      <c r="M42" s="19">
        <v>4.5</v>
      </c>
      <c r="N42" s="19">
        <v>0</v>
      </c>
      <c r="O42" s="1">
        <v>0</v>
      </c>
      <c r="P42" s="19">
        <v>26</v>
      </c>
    </row>
    <row r="43" spans="1:16">
      <c r="A43" s="1">
        <v>42</v>
      </c>
      <c r="B43" s="1" t="s">
        <v>110</v>
      </c>
      <c r="C43" s="1" t="s">
        <v>111</v>
      </c>
      <c r="D43" s="1" t="str">
        <f>_xlfn.CONCAT(mmmm[[#This Row],[First Name]]," ",mmmm[[#This Row],[Last Name]])</f>
        <v>Abd Allatif Mabrukh</v>
      </c>
      <c r="E43" s="19" t="s">
        <v>18</v>
      </c>
      <c r="F43" s="11">
        <v>44175</v>
      </c>
      <c r="G43" s="19">
        <v>5</v>
      </c>
      <c r="H43" s="19" t="s">
        <v>55</v>
      </c>
      <c r="I43" s="19" t="s">
        <v>20</v>
      </c>
      <c r="J43" s="1" t="s">
        <v>39</v>
      </c>
      <c r="K43" s="19">
        <v>3344</v>
      </c>
      <c r="L43" s="19">
        <v>40128</v>
      </c>
      <c r="M43" s="19">
        <v>5</v>
      </c>
      <c r="N43" s="19">
        <v>0</v>
      </c>
      <c r="O43" s="1">
        <v>0</v>
      </c>
      <c r="P43" s="19">
        <v>7</v>
      </c>
    </row>
    <row r="44" spans="1:16">
      <c r="A44" s="1">
        <v>43</v>
      </c>
      <c r="B44" s="1" t="s">
        <v>68</v>
      </c>
      <c r="C44" s="1" t="s">
        <v>112</v>
      </c>
      <c r="D44" s="1" t="str">
        <f>_xlfn.CONCAT(mmmm[[#This Row],[First Name]]," ",mmmm[[#This Row],[Last Name]])</f>
        <v>Salim Abumaeun</v>
      </c>
      <c r="E44" s="19" t="s">
        <v>18</v>
      </c>
      <c r="F44" s="11">
        <v>42916</v>
      </c>
      <c r="G44" s="19">
        <v>9</v>
      </c>
      <c r="H44" s="19" t="s">
        <v>44</v>
      </c>
      <c r="I44" s="19" t="s">
        <v>32</v>
      </c>
      <c r="J44" s="1" t="s">
        <v>33</v>
      </c>
      <c r="K44" s="19">
        <v>2836</v>
      </c>
      <c r="L44" s="19">
        <v>34032</v>
      </c>
      <c r="M44" s="19">
        <v>5</v>
      </c>
      <c r="N44" s="19">
        <v>0</v>
      </c>
      <c r="O44" s="1">
        <v>0</v>
      </c>
      <c r="P44" s="19">
        <v>14</v>
      </c>
    </row>
    <row r="45" spans="1:16">
      <c r="A45" s="1">
        <v>44</v>
      </c>
      <c r="B45" s="1" t="s">
        <v>113</v>
      </c>
      <c r="C45" s="1" t="s">
        <v>114</v>
      </c>
      <c r="D45" s="1" t="str">
        <f>_xlfn.CONCAT(mmmm[[#This Row],[First Name]]," ",mmmm[[#This Row],[Last Name]])</f>
        <v>Rafat Hamza</v>
      </c>
      <c r="E45" s="19" t="s">
        <v>18</v>
      </c>
      <c r="F45" s="11">
        <v>43954</v>
      </c>
      <c r="G45" s="19">
        <v>6</v>
      </c>
      <c r="H45" s="19" t="s">
        <v>19</v>
      </c>
      <c r="I45" s="19" t="s">
        <v>24</v>
      </c>
      <c r="J45" s="1" t="s">
        <v>33</v>
      </c>
      <c r="K45" s="19">
        <v>1960</v>
      </c>
      <c r="L45" s="19">
        <v>23520</v>
      </c>
      <c r="M45" s="19">
        <v>3</v>
      </c>
      <c r="N45" s="19">
        <v>0</v>
      </c>
      <c r="O45" s="1">
        <v>0</v>
      </c>
      <c r="P45" s="19">
        <v>9</v>
      </c>
    </row>
    <row r="46" spans="1:16">
      <c r="A46" s="1">
        <v>45</v>
      </c>
      <c r="B46" s="1" t="s">
        <v>34</v>
      </c>
      <c r="C46" s="1" t="s">
        <v>115</v>
      </c>
      <c r="D46" s="1" t="str">
        <f>_xlfn.CONCAT(mmmm[[#This Row],[First Name]]," ",mmmm[[#This Row],[Last Name]])</f>
        <v>Ahmad Laylana</v>
      </c>
      <c r="E46" s="19" t="s">
        <v>18</v>
      </c>
      <c r="F46" s="11">
        <v>42701</v>
      </c>
      <c r="G46" s="19">
        <v>9</v>
      </c>
      <c r="H46" s="19" t="s">
        <v>55</v>
      </c>
      <c r="I46" s="19" t="s">
        <v>20</v>
      </c>
      <c r="J46" s="1" t="s">
        <v>33</v>
      </c>
      <c r="K46" s="19">
        <v>1478</v>
      </c>
      <c r="L46" s="19">
        <v>17736</v>
      </c>
      <c r="M46" s="19">
        <v>4.5</v>
      </c>
      <c r="N46" s="19">
        <v>5</v>
      </c>
      <c r="O46" s="1">
        <v>6</v>
      </c>
      <c r="P46" s="19">
        <v>7</v>
      </c>
    </row>
    <row r="47" spans="1:16">
      <c r="A47" s="1">
        <v>46</v>
      </c>
      <c r="B47" s="1" t="s">
        <v>116</v>
      </c>
      <c r="C47" s="1" t="s">
        <v>117</v>
      </c>
      <c r="D47" s="1" t="str">
        <f>_xlfn.CONCAT(mmmm[[#This Row],[First Name]]," ",mmmm[[#This Row],[Last Name]])</f>
        <v>Lobnaa Khalifih</v>
      </c>
      <c r="E47" s="19" t="s">
        <v>27</v>
      </c>
      <c r="F47" s="11">
        <v>43817</v>
      </c>
      <c r="G47" s="19">
        <v>6</v>
      </c>
      <c r="H47" s="19" t="s">
        <v>60</v>
      </c>
      <c r="I47" s="19" t="s">
        <v>32</v>
      </c>
      <c r="J47" s="1" t="s">
        <v>39</v>
      </c>
      <c r="K47" s="19">
        <v>1981</v>
      </c>
      <c r="L47" s="19">
        <v>23772</v>
      </c>
      <c r="M47" s="19">
        <v>2</v>
      </c>
      <c r="N47" s="19">
        <v>0</v>
      </c>
      <c r="O47" s="1">
        <v>0</v>
      </c>
      <c r="P47" s="19">
        <v>3</v>
      </c>
    </row>
    <row r="48" spans="1:16">
      <c r="A48" s="1">
        <v>47</v>
      </c>
      <c r="B48" s="1" t="s">
        <v>118</v>
      </c>
      <c r="C48" s="1" t="s">
        <v>119</v>
      </c>
      <c r="D48" s="1" t="str">
        <f>_xlfn.CONCAT(mmmm[[#This Row],[First Name]]," ",mmmm[[#This Row],[Last Name]])</f>
        <v>Sami Alkhujih</v>
      </c>
      <c r="E48" s="19" t="s">
        <v>18</v>
      </c>
      <c r="F48" s="11">
        <v>43572</v>
      </c>
      <c r="G48" s="19">
        <v>7</v>
      </c>
      <c r="H48" s="19" t="s">
        <v>120</v>
      </c>
      <c r="I48" s="19" t="s">
        <v>32</v>
      </c>
      <c r="J48" s="1" t="s">
        <v>33</v>
      </c>
      <c r="K48" s="19">
        <v>2064</v>
      </c>
      <c r="L48" s="19">
        <v>24768</v>
      </c>
      <c r="M48" s="19">
        <v>2</v>
      </c>
      <c r="N48" s="19">
        <v>0</v>
      </c>
      <c r="O48" s="1">
        <v>0</v>
      </c>
      <c r="P48" s="19">
        <v>0</v>
      </c>
    </row>
    <row r="49" spans="1:16">
      <c r="A49" s="1">
        <v>48</v>
      </c>
      <c r="B49" s="1" t="s">
        <v>121</v>
      </c>
      <c r="C49" s="1" t="s">
        <v>122</v>
      </c>
      <c r="D49" s="1" t="str">
        <f>_xlfn.CONCAT(mmmm[[#This Row],[First Name]]," ",mmmm[[#This Row],[Last Name]])</f>
        <v>Salam Alealbi</v>
      </c>
      <c r="E49" s="19" t="s">
        <v>27</v>
      </c>
      <c r="F49" s="11">
        <v>42438</v>
      </c>
      <c r="G49" s="19">
        <v>10</v>
      </c>
      <c r="H49" s="19" t="s">
        <v>31</v>
      </c>
      <c r="I49" s="19" t="s">
        <v>20</v>
      </c>
      <c r="J49" s="1" t="s">
        <v>33</v>
      </c>
      <c r="K49" s="19">
        <v>1045</v>
      </c>
      <c r="L49" s="19">
        <v>12540</v>
      </c>
      <c r="M49" s="19">
        <v>5</v>
      </c>
      <c r="N49" s="19">
        <v>1</v>
      </c>
      <c r="O49" s="1">
        <v>0</v>
      </c>
      <c r="P49" s="19">
        <v>3</v>
      </c>
    </row>
    <row r="50" spans="1:16">
      <c r="A50" s="1">
        <v>49</v>
      </c>
      <c r="B50" s="1" t="s">
        <v>123</v>
      </c>
      <c r="C50" s="1" t="s">
        <v>109</v>
      </c>
      <c r="D50" s="1" t="str">
        <f>_xlfn.CONCAT(mmmm[[#This Row],[First Name]]," ",mmmm[[#This Row],[Last Name]])</f>
        <v>Rim Almusaa</v>
      </c>
      <c r="E50" s="19" t="s">
        <v>27</v>
      </c>
      <c r="F50" s="11">
        <v>43957</v>
      </c>
      <c r="G50" s="19">
        <v>6</v>
      </c>
      <c r="H50" s="19" t="s">
        <v>31</v>
      </c>
      <c r="I50" s="19" t="s">
        <v>20</v>
      </c>
      <c r="J50" s="1" t="s">
        <v>21</v>
      </c>
      <c r="K50" s="19">
        <v>2022</v>
      </c>
      <c r="L50" s="19">
        <v>24264</v>
      </c>
      <c r="M50" s="19">
        <v>3</v>
      </c>
      <c r="N50" s="19">
        <v>0</v>
      </c>
      <c r="O50" s="1">
        <v>0</v>
      </c>
      <c r="P50" s="19">
        <v>1</v>
      </c>
    </row>
    <row r="51" spans="1:16">
      <c r="A51" s="1">
        <v>50</v>
      </c>
      <c r="B51" s="1" t="s">
        <v>124</v>
      </c>
      <c r="C51" s="1" t="s">
        <v>125</v>
      </c>
      <c r="D51" s="1" t="str">
        <f>_xlfn.CONCAT(mmmm[[#This Row],[First Name]]," ",mmmm[[#This Row],[Last Name]])</f>
        <v>Ghada Aleasimii</v>
      </c>
      <c r="E51" s="19" t="s">
        <v>27</v>
      </c>
      <c r="F51" s="11">
        <v>43759</v>
      </c>
      <c r="G51" s="19">
        <v>6</v>
      </c>
      <c r="H51" s="19" t="s">
        <v>79</v>
      </c>
      <c r="I51" s="19" t="s">
        <v>20</v>
      </c>
      <c r="J51" s="1" t="s">
        <v>39</v>
      </c>
      <c r="K51" s="19">
        <v>2383</v>
      </c>
      <c r="L51" s="19">
        <v>28596</v>
      </c>
      <c r="M51" s="19">
        <v>5</v>
      </c>
      <c r="N51" s="19">
        <v>0</v>
      </c>
      <c r="O51" s="1">
        <v>4</v>
      </c>
      <c r="P51" s="19">
        <v>1</v>
      </c>
    </row>
    <row r="52" spans="1:16">
      <c r="A52" s="1">
        <v>51</v>
      </c>
      <c r="B52" s="1" t="s">
        <v>126</v>
      </c>
      <c r="C52" s="1" t="s">
        <v>36</v>
      </c>
      <c r="D52" s="1" t="str">
        <f>_xlfn.CONCAT(mmmm[[#This Row],[First Name]]," ",mmmm[[#This Row],[Last Name]])</f>
        <v>Abd Alwahhab Muhamad</v>
      </c>
      <c r="E52" s="19" t="s">
        <v>18</v>
      </c>
      <c r="F52" s="11">
        <v>43403</v>
      </c>
      <c r="G52" s="19">
        <v>7</v>
      </c>
      <c r="H52" s="19" t="s">
        <v>31</v>
      </c>
      <c r="I52" s="19" t="s">
        <v>20</v>
      </c>
      <c r="J52" s="1" t="s">
        <v>21</v>
      </c>
      <c r="K52" s="19">
        <v>1563</v>
      </c>
      <c r="L52" s="19">
        <v>18756</v>
      </c>
      <c r="M52" s="19">
        <v>3</v>
      </c>
      <c r="N52" s="19">
        <v>3</v>
      </c>
      <c r="O52" s="1">
        <v>0</v>
      </c>
      <c r="P52" s="19">
        <v>1</v>
      </c>
    </row>
    <row r="53" spans="1:16">
      <c r="A53" s="1">
        <v>52</v>
      </c>
      <c r="B53" s="1" t="s">
        <v>127</v>
      </c>
      <c r="C53" s="1" t="s">
        <v>128</v>
      </c>
      <c r="D53" s="1" t="str">
        <f>_xlfn.CONCAT(mmmm[[#This Row],[First Name]]," ",mmmm[[#This Row],[Last Name]])</f>
        <v>Ayman Eubayd</v>
      </c>
      <c r="E53" s="19" t="s">
        <v>18</v>
      </c>
      <c r="F53" s="11">
        <v>43699</v>
      </c>
      <c r="G53" s="19">
        <v>6</v>
      </c>
      <c r="H53" s="19" t="s">
        <v>42</v>
      </c>
      <c r="I53" s="19" t="s">
        <v>24</v>
      </c>
      <c r="J53" s="1" t="s">
        <v>21</v>
      </c>
      <c r="K53" s="19">
        <v>919</v>
      </c>
      <c r="L53" s="19">
        <v>11028</v>
      </c>
      <c r="M53" s="19">
        <v>2</v>
      </c>
      <c r="N53" s="19">
        <v>0</v>
      </c>
      <c r="O53" s="1">
        <v>0</v>
      </c>
      <c r="P53" s="19">
        <v>10</v>
      </c>
    </row>
    <row r="54" spans="1:16">
      <c r="A54" s="1">
        <v>53</v>
      </c>
      <c r="B54" s="1" t="s">
        <v>129</v>
      </c>
      <c r="C54" s="1" t="s">
        <v>130</v>
      </c>
      <c r="D54" s="1" t="str">
        <f>_xlfn.CONCAT(mmmm[[#This Row],[First Name]]," ",mmmm[[#This Row],[Last Name]])</f>
        <v>Faras Karim</v>
      </c>
      <c r="E54" s="19" t="s">
        <v>18</v>
      </c>
      <c r="F54" s="11">
        <v>44127</v>
      </c>
      <c r="G54" s="19">
        <v>5</v>
      </c>
      <c r="H54" s="19" t="s">
        <v>79</v>
      </c>
      <c r="I54" s="19" t="s">
        <v>20</v>
      </c>
      <c r="J54" s="1" t="s">
        <v>33</v>
      </c>
      <c r="K54" s="19">
        <v>988</v>
      </c>
      <c r="L54" s="19">
        <v>11856</v>
      </c>
      <c r="M54" s="19">
        <v>5</v>
      </c>
      <c r="N54" s="19">
        <v>0</v>
      </c>
      <c r="O54" s="1">
        <v>0</v>
      </c>
      <c r="P54" s="19">
        <v>5</v>
      </c>
    </row>
    <row r="55" spans="1:16">
      <c r="A55" s="1">
        <v>54</v>
      </c>
      <c r="B55" s="1" t="s">
        <v>131</v>
      </c>
      <c r="C55" s="1" t="s">
        <v>132</v>
      </c>
      <c r="D55" s="1" t="str">
        <f>_xlfn.CONCAT(mmmm[[#This Row],[First Name]]," ",mmmm[[#This Row],[Last Name]])</f>
        <v>Shadi Salayk</v>
      </c>
      <c r="E55" s="19" t="s">
        <v>18</v>
      </c>
      <c r="F55" s="11">
        <v>43498</v>
      </c>
      <c r="G55" s="19">
        <v>7</v>
      </c>
      <c r="H55" s="19" t="s">
        <v>79</v>
      </c>
      <c r="I55" s="19" t="s">
        <v>32</v>
      </c>
      <c r="J55" s="1" t="s">
        <v>39</v>
      </c>
      <c r="K55" s="19">
        <v>2631</v>
      </c>
      <c r="L55" s="19">
        <v>31572</v>
      </c>
      <c r="M55" s="19">
        <v>3</v>
      </c>
      <c r="N55" s="19">
        <v>3</v>
      </c>
      <c r="O55" s="1">
        <v>6</v>
      </c>
      <c r="P55" s="19">
        <v>10</v>
      </c>
    </row>
    <row r="56" spans="1:16">
      <c r="A56" s="1">
        <v>55</v>
      </c>
      <c r="B56" s="1" t="s">
        <v>133</v>
      </c>
      <c r="C56" s="1" t="s">
        <v>134</v>
      </c>
      <c r="D56" s="1" t="str">
        <f>_xlfn.CONCAT(mmmm[[#This Row],[First Name]]," ",mmmm[[#This Row],[Last Name]])</f>
        <v>Eubay Alttahir</v>
      </c>
      <c r="E56" s="19" t="s">
        <v>18</v>
      </c>
      <c r="F56" s="11">
        <v>42629</v>
      </c>
      <c r="G56" s="19">
        <v>9</v>
      </c>
      <c r="H56" s="19" t="s">
        <v>19</v>
      </c>
      <c r="I56" s="19" t="s">
        <v>20</v>
      </c>
      <c r="J56" s="1" t="s">
        <v>39</v>
      </c>
      <c r="K56" s="19">
        <v>2368</v>
      </c>
      <c r="L56" s="19">
        <v>28416</v>
      </c>
      <c r="M56" s="19">
        <v>3</v>
      </c>
      <c r="N56" s="19">
        <v>6</v>
      </c>
      <c r="O56" s="1">
        <v>0</v>
      </c>
      <c r="P56" s="19">
        <v>5</v>
      </c>
    </row>
    <row r="57" spans="1:16">
      <c r="A57" s="1">
        <v>56</v>
      </c>
      <c r="B57" s="1" t="s">
        <v>135</v>
      </c>
      <c r="C57" s="1" t="s">
        <v>136</v>
      </c>
      <c r="D57" s="1" t="str">
        <f>_xlfn.CONCAT(mmmm[[#This Row],[First Name]]," ",mmmm[[#This Row],[Last Name]])</f>
        <v>Abd Alhadi Alzzahir</v>
      </c>
      <c r="E57" s="19" t="s">
        <v>18</v>
      </c>
      <c r="F57" s="11">
        <v>43173</v>
      </c>
      <c r="G57" s="19">
        <v>8</v>
      </c>
      <c r="H57" s="19" t="s">
        <v>42</v>
      </c>
      <c r="I57" s="19" t="s">
        <v>20</v>
      </c>
      <c r="J57" s="1" t="s">
        <v>62</v>
      </c>
      <c r="K57" s="19">
        <v>2679</v>
      </c>
      <c r="L57" s="19">
        <v>32148</v>
      </c>
      <c r="M57" s="19">
        <v>3</v>
      </c>
      <c r="N57" s="19">
        <v>3</v>
      </c>
      <c r="O57" s="1">
        <v>0</v>
      </c>
      <c r="P57" s="19">
        <v>85</v>
      </c>
    </row>
    <row r="58" spans="1:16">
      <c r="A58" s="1">
        <v>57</v>
      </c>
      <c r="B58" s="1" t="s">
        <v>137</v>
      </c>
      <c r="C58" s="1" t="s">
        <v>138</v>
      </c>
      <c r="D58" s="1" t="str">
        <f>_xlfn.CONCAT(mmmm[[#This Row],[First Name]]," ",mmmm[[#This Row],[Last Name]])</f>
        <v>Majdulin Ashbrh</v>
      </c>
      <c r="E58" s="19" t="s">
        <v>27</v>
      </c>
      <c r="F58" s="11">
        <v>43540</v>
      </c>
      <c r="G58" s="19">
        <v>7</v>
      </c>
      <c r="H58" s="19" t="s">
        <v>44</v>
      </c>
      <c r="I58" s="19" t="s">
        <v>20</v>
      </c>
      <c r="J58" s="1" t="s">
        <v>33</v>
      </c>
      <c r="K58" s="19">
        <v>2423</v>
      </c>
      <c r="L58" s="19">
        <v>29076</v>
      </c>
      <c r="M58" s="19">
        <v>3</v>
      </c>
      <c r="N58" s="19">
        <v>5</v>
      </c>
      <c r="O58" s="1">
        <v>0</v>
      </c>
      <c r="P58" s="19">
        <v>10</v>
      </c>
    </row>
    <row r="59" spans="1:16">
      <c r="A59" s="1">
        <v>58</v>
      </c>
      <c r="B59" s="1" t="s">
        <v>139</v>
      </c>
      <c r="C59" s="1" t="s">
        <v>140</v>
      </c>
      <c r="D59" s="1" t="str">
        <f>_xlfn.CONCAT(mmmm[[#This Row],[First Name]]," ",mmmm[[#This Row],[Last Name]])</f>
        <v>Aylyn Dahadal</v>
      </c>
      <c r="E59" s="19" t="s">
        <v>27</v>
      </c>
      <c r="F59" s="11">
        <v>43849</v>
      </c>
      <c r="G59" s="19">
        <v>6</v>
      </c>
      <c r="H59" s="19" t="s">
        <v>79</v>
      </c>
      <c r="I59" s="19" t="s">
        <v>20</v>
      </c>
      <c r="J59" s="1" t="s">
        <v>21</v>
      </c>
      <c r="K59" s="19">
        <v>2115</v>
      </c>
      <c r="L59" s="19">
        <v>25380</v>
      </c>
      <c r="M59" s="19">
        <v>5</v>
      </c>
      <c r="N59" s="19">
        <v>0</v>
      </c>
      <c r="O59" s="1">
        <v>0</v>
      </c>
      <c r="P59" s="19">
        <v>0</v>
      </c>
    </row>
    <row r="60" spans="1:16">
      <c r="A60" s="1">
        <v>59</v>
      </c>
      <c r="B60" s="1" t="s">
        <v>141</v>
      </c>
      <c r="C60" s="1" t="s">
        <v>142</v>
      </c>
      <c r="D60" s="1" t="str">
        <f>_xlfn.CONCAT(mmmm[[#This Row],[First Name]]," ",mmmm[[#This Row],[Last Name]])</f>
        <v>Tala Tuish</v>
      </c>
      <c r="E60" s="19" t="s">
        <v>27</v>
      </c>
      <c r="F60" s="11">
        <v>43576</v>
      </c>
      <c r="G60" s="19">
        <v>7</v>
      </c>
      <c r="H60" s="19" t="s">
        <v>38</v>
      </c>
      <c r="I60" s="19" t="s">
        <v>32</v>
      </c>
      <c r="J60" s="1" t="s">
        <v>39</v>
      </c>
      <c r="K60" s="19">
        <v>2969</v>
      </c>
      <c r="L60" s="19">
        <v>35628</v>
      </c>
      <c r="M60" s="19">
        <v>1</v>
      </c>
      <c r="N60" s="19">
        <v>0</v>
      </c>
      <c r="O60" s="1">
        <v>0</v>
      </c>
      <c r="P60" s="19">
        <v>11</v>
      </c>
    </row>
    <row r="61" spans="1:16">
      <c r="A61" s="1">
        <v>60</v>
      </c>
      <c r="B61" s="1" t="s">
        <v>36</v>
      </c>
      <c r="C61" s="1" t="s">
        <v>143</v>
      </c>
      <c r="D61" s="1" t="str">
        <f>_xlfn.CONCAT(mmmm[[#This Row],[First Name]]," ",mmmm[[#This Row],[Last Name]])</f>
        <v>Muhamad Qarh</v>
      </c>
      <c r="E61" s="19" t="s">
        <v>18</v>
      </c>
      <c r="F61" s="11">
        <v>43665</v>
      </c>
      <c r="G61" s="19">
        <v>7</v>
      </c>
      <c r="H61" s="19" t="s">
        <v>78</v>
      </c>
      <c r="I61" s="19" t="s">
        <v>20</v>
      </c>
      <c r="J61" s="1" t="s">
        <v>39</v>
      </c>
      <c r="K61" s="19">
        <v>2467</v>
      </c>
      <c r="L61" s="19">
        <v>29604</v>
      </c>
      <c r="M61" s="19">
        <v>3</v>
      </c>
      <c r="N61" s="19">
        <v>0</v>
      </c>
      <c r="O61" s="1">
        <v>0</v>
      </c>
      <c r="P61" s="19">
        <v>7</v>
      </c>
    </row>
    <row r="62" spans="1:16">
      <c r="A62" s="1">
        <v>61</v>
      </c>
      <c r="B62" s="1" t="s">
        <v>91</v>
      </c>
      <c r="C62" s="1" t="s">
        <v>144</v>
      </c>
      <c r="D62" s="1" t="str">
        <f>_xlfn.CONCAT(mmmm[[#This Row],[First Name]]," ",mmmm[[#This Row],[Last Name]])</f>
        <v>Eala Almisri</v>
      </c>
      <c r="E62" s="19" t="s">
        <v>27</v>
      </c>
      <c r="F62" s="11">
        <v>43582</v>
      </c>
      <c r="G62" s="19">
        <v>7</v>
      </c>
      <c r="H62" s="19" t="s">
        <v>55</v>
      </c>
      <c r="I62" s="19" t="s">
        <v>20</v>
      </c>
      <c r="J62" s="1" t="s">
        <v>33</v>
      </c>
      <c r="K62" s="19">
        <v>3244</v>
      </c>
      <c r="L62" s="19">
        <v>38928</v>
      </c>
      <c r="M62" s="19">
        <v>3</v>
      </c>
      <c r="N62" s="19">
        <v>0</v>
      </c>
      <c r="O62" s="1">
        <v>0</v>
      </c>
      <c r="P62" s="19">
        <v>10</v>
      </c>
    </row>
    <row r="63" spans="1:16">
      <c r="A63" s="1">
        <v>62</v>
      </c>
      <c r="B63" s="1" t="s">
        <v>36</v>
      </c>
      <c r="C63" s="1" t="s">
        <v>145</v>
      </c>
      <c r="D63" s="1" t="str">
        <f>_xlfn.CONCAT(mmmm[[#This Row],[First Name]]," ",mmmm[[#This Row],[Last Name]])</f>
        <v>Muhamad Alzaybq</v>
      </c>
      <c r="E63" s="19" t="s">
        <v>18</v>
      </c>
      <c r="F63" s="11">
        <v>43439</v>
      </c>
      <c r="G63" s="19">
        <v>7</v>
      </c>
      <c r="H63" s="19" t="s">
        <v>146</v>
      </c>
      <c r="I63" s="19" t="s">
        <v>20</v>
      </c>
      <c r="J63" s="1" t="s">
        <v>33</v>
      </c>
      <c r="K63" s="19">
        <v>2132</v>
      </c>
      <c r="L63" s="19">
        <v>25584</v>
      </c>
      <c r="M63" s="19">
        <v>3</v>
      </c>
      <c r="N63" s="19">
        <v>5</v>
      </c>
      <c r="O63" s="1">
        <v>0</v>
      </c>
      <c r="P63" s="19">
        <v>2</v>
      </c>
    </row>
    <row r="64" spans="1:16">
      <c r="A64" s="1">
        <v>63</v>
      </c>
      <c r="B64" s="1" t="s">
        <v>36</v>
      </c>
      <c r="C64" s="1" t="s">
        <v>147</v>
      </c>
      <c r="D64" s="1" t="str">
        <f>_xlfn.CONCAT(mmmm[[#This Row],[First Name]]," ",mmmm[[#This Row],[Last Name]])</f>
        <v>Muhamad Asamy</v>
      </c>
      <c r="E64" s="19" t="s">
        <v>18</v>
      </c>
      <c r="F64" s="11">
        <v>42819</v>
      </c>
      <c r="G64" s="19">
        <v>9</v>
      </c>
      <c r="H64" s="19" t="s">
        <v>31</v>
      </c>
      <c r="I64" s="19" t="s">
        <v>32</v>
      </c>
      <c r="J64" s="1" t="s">
        <v>39</v>
      </c>
      <c r="K64" s="19">
        <v>994</v>
      </c>
      <c r="L64" s="19">
        <v>11928</v>
      </c>
      <c r="M64" s="19">
        <v>3</v>
      </c>
      <c r="N64" s="19">
        <v>6</v>
      </c>
      <c r="O64" s="1">
        <v>4</v>
      </c>
      <c r="P64" s="19">
        <v>0</v>
      </c>
    </row>
    <row r="65" spans="1:16">
      <c r="A65" s="1">
        <v>64</v>
      </c>
      <c r="B65" s="1" t="s">
        <v>34</v>
      </c>
      <c r="C65" s="1" t="s">
        <v>122</v>
      </c>
      <c r="D65" s="1" t="str">
        <f>_xlfn.CONCAT(mmmm[[#This Row],[First Name]]," ",mmmm[[#This Row],[Last Name]])</f>
        <v>Ahmad Alealbi</v>
      </c>
      <c r="E65" s="19" t="s">
        <v>18</v>
      </c>
      <c r="F65" s="11">
        <v>42389</v>
      </c>
      <c r="G65" s="19">
        <v>10</v>
      </c>
      <c r="H65" s="19" t="s">
        <v>52</v>
      </c>
      <c r="I65" s="19" t="s">
        <v>20</v>
      </c>
      <c r="J65" s="1" t="s">
        <v>39</v>
      </c>
      <c r="K65" s="19">
        <v>2304</v>
      </c>
      <c r="L65" s="19">
        <v>27648</v>
      </c>
      <c r="M65" s="19">
        <v>5</v>
      </c>
      <c r="N65" s="19">
        <v>5</v>
      </c>
      <c r="O65" s="1">
        <v>0</v>
      </c>
      <c r="P65" s="19">
        <v>2</v>
      </c>
    </row>
    <row r="66" spans="1:16">
      <c r="A66" s="1">
        <v>65</v>
      </c>
      <c r="B66" s="1" t="s">
        <v>148</v>
      </c>
      <c r="C66" s="1" t="s">
        <v>149</v>
      </c>
      <c r="D66" s="1" t="str">
        <f>_xlfn.CONCAT(mmmm[[#This Row],[First Name]]," ",mmmm[[#This Row],[Last Name]])</f>
        <v>Ibrahim Almasri</v>
      </c>
      <c r="E66" s="19" t="s">
        <v>18</v>
      </c>
      <c r="F66" s="11">
        <v>43280</v>
      </c>
      <c r="G66" s="19">
        <v>8</v>
      </c>
      <c r="H66" s="19" t="s">
        <v>79</v>
      </c>
      <c r="I66" s="19" t="s">
        <v>20</v>
      </c>
      <c r="J66" s="1" t="s">
        <v>33</v>
      </c>
      <c r="K66" s="19">
        <v>1207</v>
      </c>
      <c r="L66" s="19">
        <v>14484</v>
      </c>
      <c r="M66" s="19">
        <v>2</v>
      </c>
      <c r="N66" s="19">
        <v>0</v>
      </c>
      <c r="O66" s="1">
        <v>0</v>
      </c>
      <c r="P66" s="19">
        <v>50</v>
      </c>
    </row>
    <row r="67" spans="1:16">
      <c r="A67" s="1">
        <v>66</v>
      </c>
      <c r="B67" s="1" t="s">
        <v>150</v>
      </c>
      <c r="C67" s="1" t="s">
        <v>151</v>
      </c>
      <c r="D67" s="1" t="str">
        <f>_xlfn.CONCAT(mmmm[[#This Row],[First Name]]," ",mmmm[[#This Row],[Last Name]])</f>
        <v>Hamdah Alkhalifa</v>
      </c>
      <c r="E67" s="19" t="s">
        <v>18</v>
      </c>
      <c r="F67" s="11">
        <v>43715</v>
      </c>
      <c r="G67" s="19">
        <v>6</v>
      </c>
      <c r="H67" s="19" t="s">
        <v>31</v>
      </c>
      <c r="I67" s="19" t="s">
        <v>50</v>
      </c>
      <c r="J67" s="1" t="s">
        <v>39</v>
      </c>
      <c r="K67" s="19">
        <v>802</v>
      </c>
      <c r="L67" s="19">
        <v>9624</v>
      </c>
      <c r="M67" s="19">
        <v>4.5</v>
      </c>
      <c r="N67" s="19">
        <v>2</v>
      </c>
      <c r="O67" s="1">
        <v>0</v>
      </c>
      <c r="P67" s="19">
        <v>3</v>
      </c>
    </row>
    <row r="68" spans="1:16">
      <c r="A68" s="1">
        <v>67</v>
      </c>
      <c r="B68" s="1" t="s">
        <v>36</v>
      </c>
      <c r="C68" s="1" t="s">
        <v>152</v>
      </c>
      <c r="D68" s="1" t="str">
        <f>_xlfn.CONCAT(mmmm[[#This Row],[First Name]]," ",mmmm[[#This Row],[Last Name]])</f>
        <v>Muhamad Jawish</v>
      </c>
      <c r="E68" s="19" t="s">
        <v>18</v>
      </c>
      <c r="F68" s="11">
        <v>43794</v>
      </c>
      <c r="G68" s="19">
        <v>6</v>
      </c>
      <c r="H68" s="19" t="s">
        <v>60</v>
      </c>
      <c r="I68" s="19" t="s">
        <v>32</v>
      </c>
      <c r="J68" s="1" t="s">
        <v>39</v>
      </c>
      <c r="K68" s="19">
        <v>2065</v>
      </c>
      <c r="L68" s="19">
        <v>24780</v>
      </c>
      <c r="M68" s="19">
        <v>3</v>
      </c>
      <c r="N68" s="19">
        <v>4</v>
      </c>
      <c r="O68" s="1">
        <v>3</v>
      </c>
      <c r="P68" s="19">
        <v>4</v>
      </c>
    </row>
    <row r="69" spans="1:16">
      <c r="A69" s="1">
        <v>68</v>
      </c>
      <c r="B69" s="1" t="s">
        <v>153</v>
      </c>
      <c r="C69" s="1" t="s">
        <v>154</v>
      </c>
      <c r="D69" s="1" t="str">
        <f>_xlfn.CONCAT(mmmm[[#This Row],[First Name]]," ",mmmm[[#This Row],[Last Name]])</f>
        <v>Muwmin Almudhin</v>
      </c>
      <c r="E69" s="19" t="s">
        <v>18</v>
      </c>
      <c r="F69" s="11">
        <v>44010</v>
      </c>
      <c r="G69" s="19">
        <v>6</v>
      </c>
      <c r="H69" s="19" t="s">
        <v>52</v>
      </c>
      <c r="I69" s="19" t="s">
        <v>20</v>
      </c>
      <c r="J69" s="1" t="s">
        <v>21</v>
      </c>
      <c r="K69" s="19">
        <v>2882</v>
      </c>
      <c r="L69" s="19">
        <v>34584</v>
      </c>
      <c r="M69" s="19">
        <v>5</v>
      </c>
      <c r="N69" s="19">
        <v>0</v>
      </c>
      <c r="O69" s="1">
        <v>4</v>
      </c>
      <c r="P69" s="19">
        <v>0</v>
      </c>
    </row>
    <row r="70" spans="1:16">
      <c r="A70" s="1">
        <v>69</v>
      </c>
      <c r="B70" s="1" t="s">
        <v>34</v>
      </c>
      <c r="C70" s="1" t="s">
        <v>155</v>
      </c>
      <c r="D70" s="1" t="str">
        <f>_xlfn.CONCAT(mmmm[[#This Row],[First Name]]," ",mmmm[[#This Row],[Last Name]])</f>
        <v>Ahmad Zayd</v>
      </c>
      <c r="E70" s="19" t="s">
        <v>18</v>
      </c>
      <c r="F70" s="11">
        <v>43268</v>
      </c>
      <c r="G70" s="19">
        <v>8</v>
      </c>
      <c r="H70" s="19" t="s">
        <v>44</v>
      </c>
      <c r="I70" s="19" t="s">
        <v>20</v>
      </c>
      <c r="J70" s="1" t="s">
        <v>39</v>
      </c>
      <c r="K70" s="19">
        <v>2042</v>
      </c>
      <c r="L70" s="19">
        <v>24504</v>
      </c>
      <c r="M70" s="19">
        <v>5</v>
      </c>
      <c r="N70" s="19">
        <v>0</v>
      </c>
      <c r="O70" s="1">
        <v>3</v>
      </c>
      <c r="P70" s="19">
        <v>64</v>
      </c>
    </row>
    <row r="71" spans="1:16">
      <c r="A71" s="1">
        <v>70</v>
      </c>
      <c r="B71" s="1" t="s">
        <v>156</v>
      </c>
      <c r="C71" s="1" t="s">
        <v>157</v>
      </c>
      <c r="D71" s="1" t="str">
        <f>_xlfn.CONCAT(mmmm[[#This Row],[First Name]]," ",mmmm[[#This Row],[Last Name]])</f>
        <v>Layzaan Nabulsi</v>
      </c>
      <c r="E71" s="19" t="s">
        <v>18</v>
      </c>
      <c r="F71" s="11">
        <v>43802</v>
      </c>
      <c r="G71" s="19">
        <v>6</v>
      </c>
      <c r="H71" s="19" t="s">
        <v>55</v>
      </c>
      <c r="I71" s="19" t="s">
        <v>24</v>
      </c>
      <c r="J71" s="1" t="s">
        <v>21</v>
      </c>
      <c r="K71" s="19">
        <v>2017</v>
      </c>
      <c r="L71" s="19">
        <v>24204</v>
      </c>
      <c r="M71" s="19">
        <v>3</v>
      </c>
      <c r="N71" s="19">
        <v>6</v>
      </c>
      <c r="O71" s="1">
        <v>0</v>
      </c>
      <c r="P71" s="19">
        <v>8</v>
      </c>
    </row>
    <row r="72" spans="1:16">
      <c r="A72" s="1">
        <v>71</v>
      </c>
      <c r="B72" s="1" t="s">
        <v>158</v>
      </c>
      <c r="C72" s="1" t="s">
        <v>159</v>
      </c>
      <c r="D72" s="1" t="str">
        <f>_xlfn.CONCAT(mmmm[[#This Row],[First Name]]," ",mmmm[[#This Row],[Last Name]])</f>
        <v>Sarih Eammar</v>
      </c>
      <c r="E72" s="19" t="s">
        <v>18</v>
      </c>
      <c r="F72" s="11">
        <v>43284</v>
      </c>
      <c r="G72" s="19">
        <v>8</v>
      </c>
      <c r="H72" s="19" t="s">
        <v>79</v>
      </c>
      <c r="I72" s="19" t="s">
        <v>50</v>
      </c>
      <c r="J72" s="1" t="s">
        <v>33</v>
      </c>
      <c r="K72" s="19">
        <v>3215</v>
      </c>
      <c r="L72" s="19">
        <v>38580</v>
      </c>
      <c r="M72" s="19">
        <v>2</v>
      </c>
      <c r="N72" s="19">
        <v>5</v>
      </c>
      <c r="O72" s="1">
        <v>0</v>
      </c>
      <c r="P72" s="19">
        <v>2</v>
      </c>
    </row>
    <row r="73" spans="1:16">
      <c r="A73" s="1">
        <v>72</v>
      </c>
      <c r="B73" s="1" t="s">
        <v>160</v>
      </c>
      <c r="C73" s="1" t="s">
        <v>161</v>
      </c>
      <c r="D73" s="1" t="str">
        <f>_xlfn.CONCAT(mmmm[[#This Row],[First Name]]," ",mmmm[[#This Row],[Last Name]])</f>
        <v>Karam Hutayniun</v>
      </c>
      <c r="E73" s="19" t="s">
        <v>18</v>
      </c>
      <c r="F73" s="11">
        <v>42691</v>
      </c>
      <c r="G73" s="19">
        <v>9</v>
      </c>
      <c r="H73" s="19" t="s">
        <v>31</v>
      </c>
      <c r="I73" s="19" t="s">
        <v>32</v>
      </c>
      <c r="J73" s="1" t="s">
        <v>39</v>
      </c>
      <c r="K73" s="19">
        <v>2957</v>
      </c>
      <c r="L73" s="19">
        <v>35484</v>
      </c>
      <c r="M73" s="19">
        <v>5</v>
      </c>
      <c r="N73" s="19">
        <v>1</v>
      </c>
      <c r="O73" s="1">
        <v>0</v>
      </c>
      <c r="P73" s="19">
        <v>10</v>
      </c>
    </row>
    <row r="74" spans="1:16">
      <c r="A74" s="1">
        <v>73</v>
      </c>
      <c r="B74" s="1" t="s">
        <v>162</v>
      </c>
      <c r="C74" s="1" t="s">
        <v>89</v>
      </c>
      <c r="D74" s="1" t="str">
        <f>_xlfn.CONCAT(mmmm[[#This Row],[First Name]]," ",mmmm[[#This Row],[Last Name]])</f>
        <v>Shahad Shanan</v>
      </c>
      <c r="E74" s="19" t="s">
        <v>27</v>
      </c>
      <c r="F74" s="11">
        <v>43740</v>
      </c>
      <c r="G74" s="19">
        <v>6</v>
      </c>
      <c r="H74" s="19" t="s">
        <v>38</v>
      </c>
      <c r="I74" s="19" t="s">
        <v>50</v>
      </c>
      <c r="J74" s="1" t="s">
        <v>39</v>
      </c>
      <c r="K74" s="19">
        <v>891</v>
      </c>
      <c r="L74" s="19">
        <v>10692</v>
      </c>
      <c r="M74" s="19">
        <v>3</v>
      </c>
      <c r="N74" s="19">
        <v>0</v>
      </c>
      <c r="O74" s="1">
        <v>2</v>
      </c>
      <c r="P74" s="19">
        <v>6</v>
      </c>
    </row>
    <row r="75" spans="1:16">
      <c r="A75" s="1">
        <v>74</v>
      </c>
      <c r="B75" s="1" t="s">
        <v>163</v>
      </c>
      <c r="C75" s="1" t="s">
        <v>164</v>
      </c>
      <c r="D75" s="1" t="str">
        <f>_xlfn.CONCAT(mmmm[[#This Row],[First Name]]," ",mmmm[[#This Row],[Last Name]])</f>
        <v>Salah Ramadan</v>
      </c>
      <c r="E75" s="19" t="s">
        <v>18</v>
      </c>
      <c r="F75" s="11">
        <v>43339</v>
      </c>
      <c r="G75" s="19">
        <v>7</v>
      </c>
      <c r="H75" s="19" t="s">
        <v>165</v>
      </c>
      <c r="I75" s="19" t="s">
        <v>32</v>
      </c>
      <c r="J75" s="1" t="s">
        <v>39</v>
      </c>
      <c r="K75" s="19">
        <v>1971</v>
      </c>
      <c r="L75" s="19">
        <v>23652</v>
      </c>
      <c r="M75" s="19">
        <v>4.5</v>
      </c>
      <c r="N75" s="19">
        <v>5</v>
      </c>
      <c r="O75" s="1">
        <v>1</v>
      </c>
      <c r="P75" s="19">
        <v>0</v>
      </c>
    </row>
    <row r="76" spans="1:16">
      <c r="A76" s="1">
        <v>75</v>
      </c>
      <c r="B76" s="1" t="s">
        <v>118</v>
      </c>
      <c r="C76" s="1" t="s">
        <v>166</v>
      </c>
      <c r="D76" s="1" t="str">
        <f>_xlfn.CONCAT(mmmm[[#This Row],[First Name]]," ",mmmm[[#This Row],[Last Name]])</f>
        <v>Sami Alkhayrat</v>
      </c>
      <c r="E76" s="19" t="s">
        <v>18</v>
      </c>
      <c r="F76" s="11">
        <v>44149</v>
      </c>
      <c r="G76" s="19">
        <v>5</v>
      </c>
      <c r="H76" s="19" t="s">
        <v>55</v>
      </c>
      <c r="I76" s="19" t="s">
        <v>32</v>
      </c>
      <c r="J76" s="1" t="s">
        <v>21</v>
      </c>
      <c r="K76" s="19">
        <v>2317</v>
      </c>
      <c r="L76" s="19">
        <v>27804</v>
      </c>
      <c r="M76" s="19">
        <v>3</v>
      </c>
      <c r="N76" s="19">
        <v>6</v>
      </c>
      <c r="O76" s="1">
        <v>1</v>
      </c>
      <c r="P76" s="19">
        <v>10</v>
      </c>
    </row>
    <row r="77" spans="1:16">
      <c r="A77" s="1">
        <v>76</v>
      </c>
      <c r="B77" s="1" t="s">
        <v>167</v>
      </c>
      <c r="C77" s="1" t="s">
        <v>168</v>
      </c>
      <c r="D77" s="1" t="str">
        <f>_xlfn.CONCAT(mmmm[[#This Row],[First Name]]," ",mmmm[[#This Row],[Last Name]])</f>
        <v>Khalid Snan</v>
      </c>
      <c r="E77" s="19" t="s">
        <v>18</v>
      </c>
      <c r="F77" s="11">
        <v>43797</v>
      </c>
      <c r="G77" s="19">
        <v>6</v>
      </c>
      <c r="H77" s="19" t="s">
        <v>31</v>
      </c>
      <c r="I77" s="19" t="s">
        <v>20</v>
      </c>
      <c r="J77" s="1" t="s">
        <v>62</v>
      </c>
      <c r="K77" s="19">
        <v>1657</v>
      </c>
      <c r="L77" s="19">
        <v>19884</v>
      </c>
      <c r="M77" s="19">
        <v>3</v>
      </c>
      <c r="N77" s="19">
        <v>0</v>
      </c>
      <c r="O77" s="1">
        <v>0</v>
      </c>
      <c r="P77" s="19">
        <v>12</v>
      </c>
    </row>
    <row r="78" spans="1:16">
      <c r="A78" s="1">
        <v>77</v>
      </c>
      <c r="B78" s="1" t="s">
        <v>121</v>
      </c>
      <c r="C78" s="1" t="s">
        <v>169</v>
      </c>
      <c r="D78" s="1" t="str">
        <f>_xlfn.CONCAT(mmmm[[#This Row],[First Name]]," ",mmmm[[#This Row],[Last Name]])</f>
        <v>Salam Alkhatib</v>
      </c>
      <c r="E78" s="19" t="s">
        <v>18</v>
      </c>
      <c r="F78" s="11">
        <v>43210</v>
      </c>
      <c r="G78" s="19">
        <v>8</v>
      </c>
      <c r="H78" s="19" t="s">
        <v>31</v>
      </c>
      <c r="I78" s="19" t="s">
        <v>20</v>
      </c>
      <c r="J78" s="1" t="s">
        <v>21</v>
      </c>
      <c r="K78" s="19">
        <v>3053</v>
      </c>
      <c r="L78" s="19">
        <v>36636</v>
      </c>
      <c r="M78" s="19">
        <v>3</v>
      </c>
      <c r="N78" s="19">
        <v>0</v>
      </c>
      <c r="O78" s="1">
        <v>3</v>
      </c>
      <c r="P78" s="19">
        <v>6</v>
      </c>
    </row>
    <row r="79" spans="1:16">
      <c r="A79" s="1">
        <v>78</v>
      </c>
      <c r="B79" s="1" t="s">
        <v>170</v>
      </c>
      <c r="C79" s="1" t="s">
        <v>171</v>
      </c>
      <c r="D79" s="1" t="str">
        <f>_xlfn.CONCAT(mmmm[[#This Row],[First Name]]," ",mmmm[[#This Row],[Last Name]])</f>
        <v>Darar Alshiyraziu</v>
      </c>
      <c r="E79" s="19" t="s">
        <v>18</v>
      </c>
      <c r="F79" s="11">
        <v>43840</v>
      </c>
      <c r="G79" s="19">
        <v>6</v>
      </c>
      <c r="H79" s="19" t="s">
        <v>31</v>
      </c>
      <c r="I79" s="19" t="s">
        <v>32</v>
      </c>
      <c r="J79" s="1" t="s">
        <v>21</v>
      </c>
      <c r="K79" s="19">
        <v>1887</v>
      </c>
      <c r="L79" s="19">
        <v>22644</v>
      </c>
      <c r="M79" s="19">
        <v>1</v>
      </c>
      <c r="N79" s="19">
        <v>6</v>
      </c>
      <c r="O79" s="1">
        <v>0</v>
      </c>
      <c r="P79" s="19">
        <v>4</v>
      </c>
    </row>
    <row r="80" spans="1:16">
      <c r="A80" s="1">
        <v>79</v>
      </c>
      <c r="B80" s="1" t="s">
        <v>172</v>
      </c>
      <c r="C80" s="1" t="s">
        <v>173</v>
      </c>
      <c r="D80" s="1" t="str">
        <f>_xlfn.CONCAT(mmmm[[#This Row],[First Name]]," ",mmmm[[#This Row],[Last Name]])</f>
        <v>Mazin Yusif</v>
      </c>
      <c r="E80" s="19" t="s">
        <v>18</v>
      </c>
      <c r="F80" s="11">
        <v>43411</v>
      </c>
      <c r="G80" s="19">
        <v>7</v>
      </c>
      <c r="H80" s="19" t="s">
        <v>31</v>
      </c>
      <c r="I80" s="19" t="s">
        <v>32</v>
      </c>
      <c r="J80" s="1" t="s">
        <v>33</v>
      </c>
      <c r="K80" s="19">
        <v>1457</v>
      </c>
      <c r="L80" s="19">
        <v>17484</v>
      </c>
      <c r="M80" s="19">
        <v>4.5</v>
      </c>
      <c r="N80" s="19">
        <v>0</v>
      </c>
      <c r="O80" s="1">
        <v>0</v>
      </c>
      <c r="P80" s="19">
        <v>9</v>
      </c>
    </row>
    <row r="81" spans="1:16">
      <c r="A81" s="1">
        <v>80</v>
      </c>
      <c r="B81" s="1" t="s">
        <v>174</v>
      </c>
      <c r="C81" s="1" t="s">
        <v>175</v>
      </c>
      <c r="D81" s="1" t="str">
        <f>_xlfn.CONCAT(mmmm[[#This Row],[First Name]]," ",mmmm[[#This Row],[Last Name]])</f>
        <v>Rasha Naeim</v>
      </c>
      <c r="E81" s="19" t="s">
        <v>27</v>
      </c>
      <c r="F81" s="11">
        <v>43591</v>
      </c>
      <c r="G81" s="19">
        <v>7</v>
      </c>
      <c r="H81" s="19" t="s">
        <v>19</v>
      </c>
      <c r="I81" s="19" t="s">
        <v>20</v>
      </c>
      <c r="J81" s="1" t="s">
        <v>33</v>
      </c>
      <c r="K81" s="19">
        <v>2581</v>
      </c>
      <c r="L81" s="19">
        <v>30972</v>
      </c>
      <c r="M81" s="19">
        <v>5</v>
      </c>
      <c r="N81" s="19">
        <v>0</v>
      </c>
      <c r="O81" s="1">
        <v>0</v>
      </c>
      <c r="P81" s="19">
        <v>8</v>
      </c>
    </row>
    <row r="82" spans="1:16">
      <c r="A82" s="1">
        <v>81</v>
      </c>
      <c r="B82" s="1" t="s">
        <v>176</v>
      </c>
      <c r="C82" s="1" t="s">
        <v>177</v>
      </c>
      <c r="D82" s="1" t="str">
        <f>_xlfn.CONCAT(mmmm[[#This Row],[First Name]]," ",mmmm[[#This Row],[Last Name]])</f>
        <v>Eamra Alshueranii</v>
      </c>
      <c r="E82" s="19" t="s">
        <v>27</v>
      </c>
      <c r="F82" s="11">
        <v>42609</v>
      </c>
      <c r="G82" s="19">
        <v>9</v>
      </c>
      <c r="H82" s="19" t="s">
        <v>52</v>
      </c>
      <c r="I82" s="19" t="s">
        <v>32</v>
      </c>
      <c r="J82" s="1" t="s">
        <v>39</v>
      </c>
      <c r="K82" s="19">
        <v>901</v>
      </c>
      <c r="L82" s="19">
        <v>10812</v>
      </c>
      <c r="M82" s="19">
        <v>5</v>
      </c>
      <c r="N82" s="19">
        <v>0</v>
      </c>
      <c r="O82" s="1">
        <v>2</v>
      </c>
      <c r="P82" s="19">
        <v>10</v>
      </c>
    </row>
    <row r="83" spans="1:16">
      <c r="A83" s="1">
        <v>82</v>
      </c>
      <c r="B83" s="1" t="s">
        <v>178</v>
      </c>
      <c r="C83" s="1" t="s">
        <v>179</v>
      </c>
      <c r="D83" s="1" t="str">
        <f>_xlfn.CONCAT(mmmm[[#This Row],[First Name]]," ",mmmm[[#This Row],[Last Name]])</f>
        <v>Amira Akrym</v>
      </c>
      <c r="E83" s="19" t="s">
        <v>27</v>
      </c>
      <c r="F83" s="11">
        <v>42544</v>
      </c>
      <c r="G83" s="19">
        <v>10</v>
      </c>
      <c r="H83" s="19" t="s">
        <v>44</v>
      </c>
      <c r="I83" s="19" t="s">
        <v>32</v>
      </c>
      <c r="J83" s="1" t="s">
        <v>33</v>
      </c>
      <c r="K83" s="19">
        <v>898</v>
      </c>
      <c r="L83" s="19">
        <v>10776</v>
      </c>
      <c r="M83" s="19">
        <v>4.5</v>
      </c>
      <c r="N83" s="19">
        <v>3</v>
      </c>
      <c r="O83" s="1">
        <v>0</v>
      </c>
      <c r="P83" s="19">
        <v>11</v>
      </c>
    </row>
    <row r="84" spans="1:16">
      <c r="A84" s="1">
        <v>83</v>
      </c>
      <c r="B84" s="1" t="s">
        <v>36</v>
      </c>
      <c r="C84" s="1" t="s">
        <v>180</v>
      </c>
      <c r="D84" s="1" t="str">
        <f>_xlfn.CONCAT(mmmm[[#This Row],[First Name]]," ",mmmm[[#This Row],[Last Name]])</f>
        <v>Muhamad Hamzat</v>
      </c>
      <c r="E84" s="19" t="s">
        <v>18</v>
      </c>
      <c r="F84" s="11">
        <v>44069</v>
      </c>
      <c r="G84" s="19">
        <v>5</v>
      </c>
      <c r="H84" s="19" t="s">
        <v>44</v>
      </c>
      <c r="I84" s="19" t="s">
        <v>20</v>
      </c>
      <c r="J84" s="1" t="s">
        <v>21</v>
      </c>
      <c r="K84" s="19">
        <v>2878</v>
      </c>
      <c r="L84" s="19">
        <v>34536</v>
      </c>
      <c r="M84" s="19">
        <v>3</v>
      </c>
      <c r="N84" s="19">
        <v>0</v>
      </c>
      <c r="O84" s="1">
        <v>0</v>
      </c>
      <c r="P84" s="19">
        <v>2</v>
      </c>
    </row>
    <row r="85" spans="1:16">
      <c r="A85" s="1">
        <v>84</v>
      </c>
      <c r="B85" s="1" t="s">
        <v>36</v>
      </c>
      <c r="C85" s="1" t="s">
        <v>181</v>
      </c>
      <c r="D85" s="1" t="str">
        <f>_xlfn.CONCAT(mmmm[[#This Row],[First Name]]," ",mmmm[[#This Row],[Last Name]])</f>
        <v>Muhamad Khayr</v>
      </c>
      <c r="E85" s="19" t="s">
        <v>18</v>
      </c>
      <c r="F85" s="11">
        <v>43116</v>
      </c>
      <c r="G85" s="19">
        <v>8</v>
      </c>
      <c r="H85" s="19" t="s">
        <v>95</v>
      </c>
      <c r="I85" s="19" t="s">
        <v>20</v>
      </c>
      <c r="J85" s="1" t="s">
        <v>33</v>
      </c>
      <c r="K85" s="19">
        <v>2539</v>
      </c>
      <c r="L85" s="19">
        <v>30468</v>
      </c>
      <c r="M85" s="19">
        <v>3</v>
      </c>
      <c r="N85" s="19">
        <v>0</v>
      </c>
      <c r="O85" s="1">
        <v>0</v>
      </c>
      <c r="P85" s="19">
        <v>0</v>
      </c>
    </row>
    <row r="86" spans="1:16">
      <c r="A86" s="1">
        <v>85</v>
      </c>
      <c r="B86" s="1" t="s">
        <v>182</v>
      </c>
      <c r="C86" s="1" t="s">
        <v>183</v>
      </c>
      <c r="D86" s="1" t="str">
        <f>_xlfn.CONCAT(mmmm[[#This Row],[First Name]]," ",mmmm[[#This Row],[Last Name]])</f>
        <v>Abd Almalik Nazal</v>
      </c>
      <c r="E86" s="19" t="s">
        <v>18</v>
      </c>
      <c r="F86" s="11">
        <v>43286</v>
      </c>
      <c r="G86" s="19">
        <v>8</v>
      </c>
      <c r="H86" s="19" t="s">
        <v>19</v>
      </c>
      <c r="I86" s="19" t="s">
        <v>20</v>
      </c>
      <c r="J86" s="1" t="s">
        <v>39</v>
      </c>
      <c r="K86" s="19">
        <v>2533</v>
      </c>
      <c r="L86" s="19">
        <v>30396</v>
      </c>
      <c r="M86" s="19">
        <v>5</v>
      </c>
      <c r="N86" s="19">
        <v>0</v>
      </c>
      <c r="O86" s="1">
        <v>0</v>
      </c>
      <c r="P86" s="19">
        <v>2</v>
      </c>
    </row>
    <row r="87" spans="1:16">
      <c r="A87" s="1">
        <v>86</v>
      </c>
      <c r="B87" s="1" t="s">
        <v>184</v>
      </c>
      <c r="C87" s="1" t="s">
        <v>185</v>
      </c>
      <c r="D87" s="1" t="str">
        <f>_xlfn.CONCAT(mmmm[[#This Row],[First Name]]," ",mmmm[[#This Row],[Last Name]])</f>
        <v>Rabya Kiwan</v>
      </c>
      <c r="E87" s="19" t="s">
        <v>27</v>
      </c>
      <c r="F87" s="11">
        <v>43481</v>
      </c>
      <c r="G87" s="19">
        <v>7</v>
      </c>
      <c r="H87" s="19" t="s">
        <v>78</v>
      </c>
      <c r="I87" s="19" t="s">
        <v>20</v>
      </c>
      <c r="J87" s="1" t="s">
        <v>21</v>
      </c>
      <c r="K87" s="19">
        <v>885</v>
      </c>
      <c r="L87" s="19">
        <v>10620</v>
      </c>
      <c r="M87" s="19">
        <v>3</v>
      </c>
      <c r="N87" s="19">
        <v>0</v>
      </c>
      <c r="O87" s="1">
        <v>0</v>
      </c>
      <c r="P87" s="19">
        <v>3</v>
      </c>
    </row>
    <row r="88" spans="1:16">
      <c r="A88" s="1">
        <v>87</v>
      </c>
      <c r="B88" s="1" t="s">
        <v>36</v>
      </c>
      <c r="C88" s="1" t="s">
        <v>181</v>
      </c>
      <c r="D88" s="1" t="str">
        <f>_xlfn.CONCAT(mmmm[[#This Row],[First Name]]," ",mmmm[[#This Row],[Last Name]])</f>
        <v>Muhamad Khayr</v>
      </c>
      <c r="E88" s="19" t="s">
        <v>18</v>
      </c>
      <c r="F88" s="11">
        <v>43635</v>
      </c>
      <c r="G88" s="19">
        <v>7</v>
      </c>
      <c r="H88" s="19" t="s">
        <v>55</v>
      </c>
      <c r="I88" s="19" t="s">
        <v>32</v>
      </c>
      <c r="J88" s="1" t="s">
        <v>21</v>
      </c>
      <c r="K88" s="19">
        <v>1166</v>
      </c>
      <c r="L88" s="19">
        <v>13992</v>
      </c>
      <c r="M88" s="19">
        <v>5</v>
      </c>
      <c r="N88" s="19">
        <v>0</v>
      </c>
      <c r="O88" s="1">
        <v>4</v>
      </c>
      <c r="P88" s="19">
        <v>5</v>
      </c>
    </row>
    <row r="89" spans="1:16">
      <c r="A89" s="1">
        <v>88</v>
      </c>
      <c r="B89" s="1" t="s">
        <v>186</v>
      </c>
      <c r="C89" s="1" t="s">
        <v>187</v>
      </c>
      <c r="D89" s="1" t="str">
        <f>_xlfn.CONCAT(mmmm[[#This Row],[First Name]]," ",mmmm[[#This Row],[Last Name]])</f>
        <v>Samah Almaydanii</v>
      </c>
      <c r="E89" s="19" t="s">
        <v>27</v>
      </c>
      <c r="F89" s="11">
        <v>43009</v>
      </c>
      <c r="G89" s="19">
        <v>8</v>
      </c>
      <c r="H89" s="19" t="s">
        <v>44</v>
      </c>
      <c r="I89" s="19" t="s">
        <v>32</v>
      </c>
      <c r="J89" s="1" t="s">
        <v>21</v>
      </c>
      <c r="K89" s="19">
        <v>2022</v>
      </c>
      <c r="L89" s="19">
        <v>24264</v>
      </c>
      <c r="M89" s="19">
        <v>5</v>
      </c>
      <c r="N89" s="19">
        <v>0</v>
      </c>
      <c r="O89" s="1">
        <v>0</v>
      </c>
      <c r="P89" s="19">
        <v>3</v>
      </c>
    </row>
    <row r="90" spans="1:16">
      <c r="A90" s="1">
        <v>89</v>
      </c>
      <c r="B90" s="1" t="s">
        <v>188</v>
      </c>
      <c r="C90" s="1" t="s">
        <v>189</v>
      </c>
      <c r="D90" s="1" t="str">
        <f>_xlfn.CONCAT(mmmm[[#This Row],[First Name]]," ",mmmm[[#This Row],[Last Name]])</f>
        <v>Ali Watar</v>
      </c>
      <c r="E90" s="19" t="s">
        <v>18</v>
      </c>
      <c r="F90" s="11">
        <v>43856</v>
      </c>
      <c r="G90" s="19">
        <v>6</v>
      </c>
      <c r="H90" s="19" t="s">
        <v>78</v>
      </c>
      <c r="I90" s="19" t="s">
        <v>20</v>
      </c>
      <c r="J90" s="1" t="s">
        <v>33</v>
      </c>
      <c r="K90" s="19">
        <v>1752</v>
      </c>
      <c r="L90" s="19">
        <v>21024</v>
      </c>
      <c r="M90" s="19">
        <v>2</v>
      </c>
      <c r="N90" s="19">
        <v>5</v>
      </c>
      <c r="O90" s="1">
        <v>4</v>
      </c>
      <c r="P90" s="19">
        <v>76</v>
      </c>
    </row>
    <row r="91" spans="1:16">
      <c r="A91" s="1">
        <v>90</v>
      </c>
      <c r="B91" s="1" t="s">
        <v>190</v>
      </c>
      <c r="C91" s="1" t="s">
        <v>191</v>
      </c>
      <c r="D91" s="1" t="str">
        <f>_xlfn.CONCAT(mmmm[[#This Row],[First Name]]," ",mmmm[[#This Row],[Last Name]])</f>
        <v>Darin Ghunum</v>
      </c>
      <c r="E91" s="19" t="s">
        <v>27</v>
      </c>
      <c r="F91" s="11">
        <v>43666</v>
      </c>
      <c r="G91" s="19">
        <v>7</v>
      </c>
      <c r="H91" s="19" t="s">
        <v>52</v>
      </c>
      <c r="I91" s="19" t="s">
        <v>20</v>
      </c>
      <c r="J91" s="1" t="s">
        <v>33</v>
      </c>
      <c r="K91" s="19">
        <v>3157</v>
      </c>
      <c r="L91" s="19">
        <v>37884</v>
      </c>
      <c r="M91" s="19">
        <v>1</v>
      </c>
      <c r="N91" s="19">
        <v>6</v>
      </c>
      <c r="O91" s="1">
        <v>1</v>
      </c>
      <c r="P91" s="19">
        <v>4</v>
      </c>
    </row>
    <row r="92" spans="1:16">
      <c r="A92" s="1">
        <v>91</v>
      </c>
      <c r="B92" s="1" t="s">
        <v>129</v>
      </c>
      <c r="C92" s="1" t="s">
        <v>192</v>
      </c>
      <c r="D92" s="1" t="str">
        <f>_xlfn.CONCAT(mmmm[[#This Row],[First Name]]," ",mmmm[[#This Row],[Last Name]])</f>
        <v>Faras Alhamal</v>
      </c>
      <c r="E92" s="19" t="s">
        <v>18</v>
      </c>
      <c r="F92" s="11">
        <v>44039</v>
      </c>
      <c r="G92" s="19">
        <v>6</v>
      </c>
      <c r="H92" s="19" t="s">
        <v>19</v>
      </c>
      <c r="I92" s="19" t="s">
        <v>20</v>
      </c>
      <c r="J92" s="1" t="s">
        <v>33</v>
      </c>
      <c r="K92" s="19">
        <v>3211</v>
      </c>
      <c r="L92" s="19">
        <v>38532</v>
      </c>
      <c r="M92" s="19">
        <v>5</v>
      </c>
      <c r="N92" s="19">
        <v>6</v>
      </c>
      <c r="O92" s="1">
        <v>1</v>
      </c>
      <c r="P92" s="19">
        <v>9</v>
      </c>
    </row>
    <row r="93" spans="1:16">
      <c r="A93" s="1">
        <v>92</v>
      </c>
      <c r="B93" s="1" t="s">
        <v>193</v>
      </c>
      <c r="C93" s="1" t="s">
        <v>147</v>
      </c>
      <c r="D93" s="1" t="str">
        <f>_xlfn.CONCAT(mmmm[[#This Row],[First Name]]," ",mmmm[[#This Row],[Last Name]])</f>
        <v>Amal Asamy</v>
      </c>
      <c r="E93" s="19" t="s">
        <v>27</v>
      </c>
      <c r="F93" s="11">
        <v>43384</v>
      </c>
      <c r="G93" s="19">
        <v>7</v>
      </c>
      <c r="H93" s="19" t="s">
        <v>79</v>
      </c>
      <c r="I93" s="19" t="s">
        <v>20</v>
      </c>
      <c r="J93" s="1" t="s">
        <v>39</v>
      </c>
      <c r="K93" s="19">
        <v>1062</v>
      </c>
      <c r="L93" s="19">
        <v>12744</v>
      </c>
      <c r="M93" s="19">
        <v>3</v>
      </c>
      <c r="N93" s="19">
        <v>1</v>
      </c>
      <c r="O93" s="1">
        <v>0</v>
      </c>
      <c r="P93" s="19">
        <v>7</v>
      </c>
    </row>
    <row r="94" spans="1:16">
      <c r="A94" s="1">
        <v>93</v>
      </c>
      <c r="B94" s="1" t="s">
        <v>194</v>
      </c>
      <c r="C94" s="1" t="s">
        <v>195</v>
      </c>
      <c r="D94" s="1" t="str">
        <f>_xlfn.CONCAT(mmmm[[#This Row],[First Name]]," ",mmmm[[#This Row],[Last Name]])</f>
        <v>Razan AlAhmad</v>
      </c>
      <c r="E94" s="19" t="s">
        <v>27</v>
      </c>
      <c r="F94" s="11">
        <v>43657</v>
      </c>
      <c r="G94" s="19">
        <v>7</v>
      </c>
      <c r="H94" s="19" t="s">
        <v>55</v>
      </c>
      <c r="I94" s="19" t="s">
        <v>20</v>
      </c>
      <c r="J94" s="1" t="s">
        <v>33</v>
      </c>
      <c r="K94" s="19">
        <v>1406</v>
      </c>
      <c r="L94" s="19">
        <v>16872</v>
      </c>
      <c r="M94" s="19">
        <v>4.5</v>
      </c>
      <c r="N94" s="19">
        <v>4</v>
      </c>
      <c r="O94" s="1">
        <v>0</v>
      </c>
      <c r="P94" s="19">
        <v>46</v>
      </c>
    </row>
    <row r="95" spans="1:16">
      <c r="A95" s="1">
        <v>94</v>
      </c>
      <c r="B95" s="1" t="s">
        <v>36</v>
      </c>
      <c r="C95" s="1" t="s">
        <v>196</v>
      </c>
      <c r="D95" s="1" t="str">
        <f>_xlfn.CONCAT(mmmm[[#This Row],[First Name]]," ",mmmm[[#This Row],[Last Name]])</f>
        <v>Muhamad Kharasah</v>
      </c>
      <c r="E95" s="19" t="s">
        <v>18</v>
      </c>
      <c r="F95" s="11">
        <v>43694</v>
      </c>
      <c r="G95" s="19">
        <v>6</v>
      </c>
      <c r="H95" s="19" t="s">
        <v>95</v>
      </c>
      <c r="I95" s="19" t="s">
        <v>32</v>
      </c>
      <c r="J95" s="1" t="s">
        <v>21</v>
      </c>
      <c r="K95" s="19">
        <v>3084</v>
      </c>
      <c r="L95" s="19">
        <v>37008</v>
      </c>
      <c r="M95" s="19">
        <v>3</v>
      </c>
      <c r="N95" s="19">
        <v>6</v>
      </c>
      <c r="O95" s="1">
        <v>0</v>
      </c>
      <c r="P95" s="19">
        <v>3</v>
      </c>
    </row>
    <row r="96" spans="1:16">
      <c r="A96" s="1">
        <v>95</v>
      </c>
      <c r="B96" s="1" t="s">
        <v>197</v>
      </c>
      <c r="C96" s="1" t="s">
        <v>198</v>
      </c>
      <c r="D96" s="1" t="str">
        <f>_xlfn.CONCAT(mmmm[[#This Row],[First Name]]," ",mmmm[[#This Row],[Last Name]])</f>
        <v>Tariq Bryghl</v>
      </c>
      <c r="E96" s="19" t="s">
        <v>18</v>
      </c>
      <c r="F96" s="11">
        <v>44139</v>
      </c>
      <c r="G96" s="19">
        <v>5</v>
      </c>
      <c r="H96" s="19" t="s">
        <v>60</v>
      </c>
      <c r="I96" s="19" t="s">
        <v>20</v>
      </c>
      <c r="J96" s="1" t="s">
        <v>33</v>
      </c>
      <c r="K96" s="19">
        <v>1815</v>
      </c>
      <c r="L96" s="19">
        <v>21780</v>
      </c>
      <c r="M96" s="19">
        <v>4.5</v>
      </c>
      <c r="N96" s="19">
        <v>1</v>
      </c>
      <c r="O96" s="1">
        <v>0</v>
      </c>
      <c r="P96" s="19">
        <v>9</v>
      </c>
    </row>
    <row r="97" spans="1:16">
      <c r="A97" s="1">
        <v>96</v>
      </c>
      <c r="B97" s="1" t="s">
        <v>36</v>
      </c>
      <c r="C97" s="1" t="s">
        <v>66</v>
      </c>
      <c r="D97" s="1" t="str">
        <f>_xlfn.CONCAT(mmmm[[#This Row],[First Name]]," ",mmmm[[#This Row],[Last Name]])</f>
        <v>Muhamad Husayn</v>
      </c>
      <c r="E97" s="19" t="s">
        <v>18</v>
      </c>
      <c r="F97" s="11">
        <v>42937</v>
      </c>
      <c r="G97" s="19">
        <v>9</v>
      </c>
      <c r="H97" s="19" t="s">
        <v>52</v>
      </c>
      <c r="I97" s="19" t="s">
        <v>32</v>
      </c>
      <c r="J97" s="1" t="s">
        <v>33</v>
      </c>
      <c r="K97" s="19">
        <v>1861</v>
      </c>
      <c r="L97" s="19">
        <v>22332</v>
      </c>
      <c r="M97" s="19">
        <v>3</v>
      </c>
      <c r="N97" s="19">
        <v>0</v>
      </c>
      <c r="O97" s="1">
        <v>5</v>
      </c>
      <c r="P97" s="19">
        <v>9</v>
      </c>
    </row>
    <row r="98" spans="1:16">
      <c r="A98" s="1">
        <v>97</v>
      </c>
      <c r="B98" s="1" t="s">
        <v>199</v>
      </c>
      <c r="C98" s="1" t="s">
        <v>200</v>
      </c>
      <c r="D98" s="1" t="str">
        <f>_xlfn.CONCAT(mmmm[[#This Row],[First Name]]," ",mmmm[[#This Row],[Last Name]])</f>
        <v>Fadi Aleid</v>
      </c>
      <c r="E98" s="19" t="s">
        <v>18</v>
      </c>
      <c r="F98" s="11">
        <v>43200</v>
      </c>
      <c r="G98" s="19">
        <v>8</v>
      </c>
      <c r="H98" s="19" t="s">
        <v>31</v>
      </c>
      <c r="I98" s="19" t="s">
        <v>32</v>
      </c>
      <c r="J98" s="1" t="s">
        <v>39</v>
      </c>
      <c r="K98" s="19">
        <v>3088</v>
      </c>
      <c r="L98" s="19">
        <v>37056</v>
      </c>
      <c r="M98" s="19">
        <v>5</v>
      </c>
      <c r="N98" s="19">
        <v>3</v>
      </c>
      <c r="O98" s="1">
        <v>0</v>
      </c>
      <c r="P98" s="19">
        <v>10</v>
      </c>
    </row>
    <row r="99" spans="1:16">
      <c r="A99" s="1">
        <v>98</v>
      </c>
      <c r="B99" s="1" t="s">
        <v>197</v>
      </c>
      <c r="C99" s="1" t="s">
        <v>201</v>
      </c>
      <c r="D99" s="1" t="str">
        <f>_xlfn.CONCAT(mmmm[[#This Row],[First Name]]," ",mmmm[[#This Row],[Last Name]])</f>
        <v>Tariq Abuzahir</v>
      </c>
      <c r="E99" s="19" t="s">
        <v>18</v>
      </c>
      <c r="F99" s="11">
        <v>42858</v>
      </c>
      <c r="G99" s="19">
        <v>9</v>
      </c>
      <c r="H99" s="19" t="s">
        <v>202</v>
      </c>
      <c r="I99" s="19" t="s">
        <v>50</v>
      </c>
      <c r="J99" s="1" t="s">
        <v>33</v>
      </c>
      <c r="K99" s="19">
        <v>3071</v>
      </c>
      <c r="L99" s="19">
        <v>36852</v>
      </c>
      <c r="M99" s="19">
        <v>5</v>
      </c>
      <c r="N99" s="19">
        <v>6</v>
      </c>
      <c r="O99" s="1">
        <v>0</v>
      </c>
      <c r="P99" s="19">
        <v>2</v>
      </c>
    </row>
    <row r="100" spans="1:16">
      <c r="A100" s="1">
        <v>99</v>
      </c>
      <c r="B100" s="1" t="s">
        <v>172</v>
      </c>
      <c r="C100" s="1" t="s">
        <v>128</v>
      </c>
      <c r="D100" s="1" t="str">
        <f>_xlfn.CONCAT(mmmm[[#This Row],[First Name]]," ",mmmm[[#This Row],[Last Name]])</f>
        <v>Mazin Eubayd</v>
      </c>
      <c r="E100" s="19" t="s">
        <v>18</v>
      </c>
      <c r="F100" s="11">
        <v>43433</v>
      </c>
      <c r="G100" s="19">
        <v>7</v>
      </c>
      <c r="H100" s="19" t="s">
        <v>31</v>
      </c>
      <c r="I100" s="19" t="s">
        <v>32</v>
      </c>
      <c r="J100" s="1" t="s">
        <v>39</v>
      </c>
      <c r="K100" s="19">
        <v>3298</v>
      </c>
      <c r="L100" s="19">
        <v>39576</v>
      </c>
      <c r="M100" s="19">
        <v>3</v>
      </c>
      <c r="N100" s="19">
        <v>0</v>
      </c>
      <c r="O100" s="1">
        <v>0</v>
      </c>
      <c r="P100" s="19">
        <v>9</v>
      </c>
    </row>
    <row r="101" spans="1:16">
      <c r="A101" s="1">
        <v>100</v>
      </c>
      <c r="B101" s="1" t="s">
        <v>86</v>
      </c>
      <c r="C101" s="1" t="s">
        <v>203</v>
      </c>
      <c r="D101" s="1" t="str">
        <f>_xlfn.CONCAT(mmmm[[#This Row],[First Name]]," ",mmmm[[#This Row],[Last Name]])</f>
        <v>Lina Aljabr</v>
      </c>
      <c r="E101" s="19" t="s">
        <v>27</v>
      </c>
      <c r="F101" s="11">
        <v>43339</v>
      </c>
      <c r="G101" s="19">
        <v>7</v>
      </c>
      <c r="H101" s="19" t="s">
        <v>38</v>
      </c>
      <c r="I101" s="19" t="s">
        <v>24</v>
      </c>
      <c r="J101" s="1" t="s">
        <v>39</v>
      </c>
      <c r="K101" s="19">
        <v>828</v>
      </c>
      <c r="L101" s="19">
        <v>9936</v>
      </c>
      <c r="M101" s="19">
        <v>5</v>
      </c>
      <c r="N101" s="19">
        <v>0</v>
      </c>
      <c r="O101" s="1">
        <v>0</v>
      </c>
      <c r="P101" s="19">
        <v>10</v>
      </c>
    </row>
    <row r="102" spans="1:16">
      <c r="A102" s="1">
        <v>101</v>
      </c>
      <c r="B102" s="1" t="s">
        <v>36</v>
      </c>
      <c r="C102" s="1" t="s">
        <v>127</v>
      </c>
      <c r="D102" s="1" t="str">
        <f>_xlfn.CONCAT(mmmm[[#This Row],[First Name]]," ",mmmm[[#This Row],[Last Name]])</f>
        <v>Muhamad Ayman</v>
      </c>
      <c r="E102" s="19" t="s">
        <v>18</v>
      </c>
      <c r="F102" s="11">
        <v>43786</v>
      </c>
      <c r="G102" s="19">
        <v>6</v>
      </c>
      <c r="H102" s="19" t="s">
        <v>31</v>
      </c>
      <c r="I102" s="19" t="s">
        <v>20</v>
      </c>
      <c r="J102" s="1" t="s">
        <v>39</v>
      </c>
      <c r="K102" s="19">
        <v>2404</v>
      </c>
      <c r="L102" s="19">
        <v>28848</v>
      </c>
      <c r="M102" s="19">
        <v>4.5</v>
      </c>
      <c r="N102" s="19">
        <v>0</v>
      </c>
      <c r="O102" s="1">
        <v>0</v>
      </c>
      <c r="P102" s="19">
        <v>99</v>
      </c>
    </row>
    <row r="103" spans="1:16">
      <c r="A103" s="1">
        <v>102</v>
      </c>
      <c r="B103" s="1" t="s">
        <v>127</v>
      </c>
      <c r="C103" s="1" t="s">
        <v>36</v>
      </c>
      <c r="D103" s="1" t="str">
        <f>_xlfn.CONCAT(mmmm[[#This Row],[First Name]]," ",mmmm[[#This Row],[Last Name]])</f>
        <v>Ayman Muhamad</v>
      </c>
      <c r="E103" s="19" t="s">
        <v>18</v>
      </c>
      <c r="F103" s="11">
        <v>43740</v>
      </c>
      <c r="G103" s="19">
        <v>6</v>
      </c>
      <c r="H103" s="19" t="s">
        <v>60</v>
      </c>
      <c r="I103" s="19" t="s">
        <v>20</v>
      </c>
      <c r="J103" s="1" t="s">
        <v>62</v>
      </c>
      <c r="K103" s="19">
        <v>3410</v>
      </c>
      <c r="L103" s="19">
        <v>40920</v>
      </c>
      <c r="M103" s="19">
        <v>3</v>
      </c>
      <c r="N103" s="19">
        <v>2</v>
      </c>
      <c r="O103" s="1">
        <v>0</v>
      </c>
      <c r="P103" s="19">
        <v>8</v>
      </c>
    </row>
    <row r="104" spans="1:16">
      <c r="A104" s="1">
        <v>103</v>
      </c>
      <c r="B104" s="1" t="s">
        <v>34</v>
      </c>
      <c r="C104" s="1" t="s">
        <v>204</v>
      </c>
      <c r="D104" s="1" t="str">
        <f>_xlfn.CONCAT(mmmm[[#This Row],[First Name]]," ",mmmm[[#This Row],[Last Name]])</f>
        <v>Ahmad Abu Eadlh</v>
      </c>
      <c r="E104" s="19" t="s">
        <v>18</v>
      </c>
      <c r="F104" s="11">
        <v>43793</v>
      </c>
      <c r="G104" s="19">
        <v>6</v>
      </c>
      <c r="H104" s="19" t="s">
        <v>38</v>
      </c>
      <c r="I104" s="19" t="s">
        <v>32</v>
      </c>
      <c r="J104" s="1" t="s">
        <v>33</v>
      </c>
      <c r="K104" s="19">
        <v>1817</v>
      </c>
      <c r="L104" s="19">
        <v>21804</v>
      </c>
      <c r="M104" s="19">
        <v>5</v>
      </c>
      <c r="N104" s="19">
        <v>1</v>
      </c>
      <c r="O104" s="1">
        <v>0</v>
      </c>
      <c r="P104" s="19">
        <v>1</v>
      </c>
    </row>
    <row r="105" spans="1:16">
      <c r="A105" s="1">
        <v>104</v>
      </c>
      <c r="B105" s="1" t="s">
        <v>88</v>
      </c>
      <c r="C105" s="1" t="s">
        <v>205</v>
      </c>
      <c r="D105" s="1" t="str">
        <f>_xlfn.CONCAT(mmmm[[#This Row],[First Name]]," ",mmmm[[#This Row],[Last Name]])</f>
        <v>Rami Abu Adhan</v>
      </c>
      <c r="E105" s="19" t="s">
        <v>18</v>
      </c>
      <c r="F105" s="11">
        <v>43867</v>
      </c>
      <c r="G105" s="19">
        <v>6</v>
      </c>
      <c r="H105" s="19" t="s">
        <v>31</v>
      </c>
      <c r="I105" s="19" t="s">
        <v>50</v>
      </c>
      <c r="J105" s="1" t="s">
        <v>33</v>
      </c>
      <c r="K105" s="19">
        <v>2923</v>
      </c>
      <c r="L105" s="19">
        <v>35076</v>
      </c>
      <c r="M105" s="19">
        <v>2</v>
      </c>
      <c r="N105" s="19">
        <v>0</v>
      </c>
      <c r="O105" s="1">
        <v>0</v>
      </c>
      <c r="P105" s="19">
        <v>0</v>
      </c>
    </row>
    <row r="106" spans="1:16">
      <c r="A106" s="1">
        <v>105</v>
      </c>
      <c r="B106" s="1" t="s">
        <v>36</v>
      </c>
      <c r="C106" s="1" t="s">
        <v>180</v>
      </c>
      <c r="D106" s="1" t="str">
        <f>_xlfn.CONCAT(mmmm[[#This Row],[First Name]]," ",mmmm[[#This Row],[Last Name]])</f>
        <v>Muhamad Hamzat</v>
      </c>
      <c r="E106" s="19" t="s">
        <v>18</v>
      </c>
      <c r="F106" s="11">
        <v>43397</v>
      </c>
      <c r="G106" s="19">
        <v>7</v>
      </c>
      <c r="H106" s="19" t="s">
        <v>90</v>
      </c>
      <c r="I106" s="19" t="s">
        <v>20</v>
      </c>
      <c r="J106" s="1" t="s">
        <v>62</v>
      </c>
      <c r="K106" s="19">
        <v>3138</v>
      </c>
      <c r="L106" s="19">
        <v>37656</v>
      </c>
      <c r="M106" s="19">
        <v>5</v>
      </c>
      <c r="N106" s="19">
        <v>6</v>
      </c>
      <c r="O106" s="1">
        <v>0</v>
      </c>
      <c r="P106" s="19">
        <v>10</v>
      </c>
    </row>
    <row r="107" spans="1:16">
      <c r="A107" s="1">
        <v>106</v>
      </c>
      <c r="B107" s="1" t="s">
        <v>206</v>
      </c>
      <c r="C107" s="1" t="s">
        <v>207</v>
      </c>
      <c r="D107" s="1" t="str">
        <f>_xlfn.CONCAT(mmmm[[#This Row],[First Name]]," ",mmmm[[#This Row],[Last Name]])</f>
        <v>Ehab Alkhibaz</v>
      </c>
      <c r="E107" s="19" t="s">
        <v>18</v>
      </c>
      <c r="F107" s="11">
        <v>43979</v>
      </c>
      <c r="G107" s="19">
        <v>6</v>
      </c>
      <c r="H107" s="19" t="s">
        <v>44</v>
      </c>
      <c r="I107" s="19" t="s">
        <v>20</v>
      </c>
      <c r="J107" s="1" t="s">
        <v>39</v>
      </c>
      <c r="K107" s="19">
        <v>3139</v>
      </c>
      <c r="L107" s="19">
        <v>37668</v>
      </c>
      <c r="M107" s="19">
        <v>3</v>
      </c>
      <c r="N107" s="19">
        <v>0</v>
      </c>
      <c r="O107" s="1">
        <v>0</v>
      </c>
      <c r="P107" s="19">
        <v>10</v>
      </c>
    </row>
    <row r="108" spans="1:16">
      <c r="A108" s="1">
        <v>107</v>
      </c>
      <c r="B108" s="1" t="s">
        <v>148</v>
      </c>
      <c r="C108" s="1" t="s">
        <v>157</v>
      </c>
      <c r="D108" s="1" t="str">
        <f>_xlfn.CONCAT(mmmm[[#This Row],[First Name]]," ",mmmm[[#This Row],[Last Name]])</f>
        <v>Ibrahim Nabulsi</v>
      </c>
      <c r="E108" s="19" t="s">
        <v>18</v>
      </c>
      <c r="F108" s="11">
        <v>42507</v>
      </c>
      <c r="G108" s="19">
        <v>10</v>
      </c>
      <c r="H108" s="19" t="s">
        <v>78</v>
      </c>
      <c r="I108" s="19" t="s">
        <v>32</v>
      </c>
      <c r="J108" s="1" t="s">
        <v>33</v>
      </c>
      <c r="K108" s="19">
        <v>3263</v>
      </c>
      <c r="L108" s="19">
        <v>39156</v>
      </c>
      <c r="M108" s="19">
        <v>3</v>
      </c>
      <c r="N108" s="19">
        <v>0</v>
      </c>
      <c r="O108" s="1">
        <v>0</v>
      </c>
      <c r="P108" s="19">
        <v>3</v>
      </c>
    </row>
    <row r="109" spans="1:16">
      <c r="A109" s="1">
        <v>108</v>
      </c>
      <c r="B109" s="1" t="s">
        <v>208</v>
      </c>
      <c r="C109" s="1" t="s">
        <v>209</v>
      </c>
      <c r="D109" s="1" t="str">
        <f>_xlfn.CONCAT(mmmm[[#This Row],[First Name]]," ",mmmm[[#This Row],[Last Name]])</f>
        <v>Ranya Salah Aldiyn</v>
      </c>
      <c r="E109" s="19" t="s">
        <v>27</v>
      </c>
      <c r="F109" s="11">
        <v>43487</v>
      </c>
      <c r="G109" s="19">
        <v>7</v>
      </c>
      <c r="H109" s="19" t="s">
        <v>19</v>
      </c>
      <c r="I109" s="19" t="s">
        <v>32</v>
      </c>
      <c r="J109" s="1" t="s">
        <v>33</v>
      </c>
      <c r="K109" s="19">
        <v>1258</v>
      </c>
      <c r="L109" s="19">
        <v>15096</v>
      </c>
      <c r="M109" s="19">
        <v>5</v>
      </c>
      <c r="N109" s="19">
        <v>0</v>
      </c>
      <c r="O109" s="1">
        <v>0</v>
      </c>
      <c r="P109" s="19">
        <v>5</v>
      </c>
    </row>
    <row r="110" spans="1:16">
      <c r="A110" s="1">
        <v>109</v>
      </c>
      <c r="B110" s="1" t="s">
        <v>210</v>
      </c>
      <c r="C110" s="1" t="s">
        <v>211</v>
      </c>
      <c r="D110" s="1" t="str">
        <f>_xlfn.CONCAT(mmmm[[#This Row],[First Name]]," ",mmmm[[#This Row],[Last Name]])</f>
        <v>Juri Zaytun</v>
      </c>
      <c r="E110" s="19" t="s">
        <v>27</v>
      </c>
      <c r="F110" s="11">
        <v>44085</v>
      </c>
      <c r="G110" s="19">
        <v>5</v>
      </c>
      <c r="H110" s="19" t="s">
        <v>60</v>
      </c>
      <c r="I110" s="19" t="s">
        <v>20</v>
      </c>
      <c r="J110" s="1" t="s">
        <v>39</v>
      </c>
      <c r="K110" s="19">
        <v>2527</v>
      </c>
      <c r="L110" s="19">
        <v>30324</v>
      </c>
      <c r="M110" s="19">
        <v>3</v>
      </c>
      <c r="N110" s="19">
        <v>3</v>
      </c>
      <c r="O110" s="1">
        <v>0</v>
      </c>
      <c r="P110" s="19">
        <v>16</v>
      </c>
    </row>
    <row r="111" spans="1:16">
      <c r="A111" s="1">
        <v>110</v>
      </c>
      <c r="B111" s="1" t="s">
        <v>212</v>
      </c>
      <c r="C111" s="1" t="s">
        <v>213</v>
      </c>
      <c r="D111" s="1" t="str">
        <f>_xlfn.CONCAT(mmmm[[#This Row],[First Name]]," ",mmmm[[#This Row],[Last Name]])</f>
        <v>Sahar Almuhamad</v>
      </c>
      <c r="E111" s="19" t="s">
        <v>27</v>
      </c>
      <c r="F111" s="11">
        <v>43362</v>
      </c>
      <c r="G111" s="19">
        <v>7</v>
      </c>
      <c r="H111" s="19" t="s">
        <v>60</v>
      </c>
      <c r="I111" s="19" t="s">
        <v>20</v>
      </c>
      <c r="J111" s="1" t="s">
        <v>33</v>
      </c>
      <c r="K111" s="19">
        <v>3017</v>
      </c>
      <c r="L111" s="19">
        <v>36204</v>
      </c>
      <c r="M111" s="19">
        <v>4.5</v>
      </c>
      <c r="N111" s="19">
        <v>0</v>
      </c>
      <c r="O111" s="1">
        <v>4</v>
      </c>
      <c r="P111" s="19">
        <v>4</v>
      </c>
    </row>
    <row r="112" spans="1:16">
      <c r="A112" s="1">
        <v>111</v>
      </c>
      <c r="B112" s="1" t="s">
        <v>214</v>
      </c>
      <c r="C112" s="1" t="s">
        <v>215</v>
      </c>
      <c r="D112" s="1" t="str">
        <f>_xlfn.CONCAT(mmmm[[#This Row],[First Name]]," ",mmmm[[#This Row],[Last Name]])</f>
        <v>Mari Ayly</v>
      </c>
      <c r="E112" s="19" t="s">
        <v>27</v>
      </c>
      <c r="F112" s="11">
        <v>42480</v>
      </c>
      <c r="G112" s="19">
        <v>10</v>
      </c>
      <c r="H112" s="19" t="s">
        <v>44</v>
      </c>
      <c r="I112" s="19" t="s">
        <v>24</v>
      </c>
      <c r="J112" s="1" t="s">
        <v>39</v>
      </c>
      <c r="K112" s="19">
        <v>1639</v>
      </c>
      <c r="L112" s="19">
        <v>19668</v>
      </c>
      <c r="M112" s="19">
        <v>5</v>
      </c>
      <c r="N112" s="19">
        <v>0</v>
      </c>
      <c r="O112" s="1">
        <v>0</v>
      </c>
      <c r="P112" s="19">
        <v>2</v>
      </c>
    </row>
    <row r="113" spans="1:16">
      <c r="A113" s="1">
        <v>112</v>
      </c>
      <c r="B113" s="1" t="s">
        <v>188</v>
      </c>
      <c r="C113" s="1" t="s">
        <v>216</v>
      </c>
      <c r="D113" s="1" t="str">
        <f>_xlfn.CONCAT(mmmm[[#This Row],[First Name]]," ",mmmm[[#This Row],[Last Name]])</f>
        <v>Ali Alhuri</v>
      </c>
      <c r="E113" s="19" t="s">
        <v>18</v>
      </c>
      <c r="F113" s="11">
        <v>43742</v>
      </c>
      <c r="G113" s="19">
        <v>6</v>
      </c>
      <c r="H113" s="19" t="s">
        <v>52</v>
      </c>
      <c r="I113" s="19" t="s">
        <v>20</v>
      </c>
      <c r="J113" s="1" t="s">
        <v>33</v>
      </c>
      <c r="K113" s="19">
        <v>1867</v>
      </c>
      <c r="L113" s="19">
        <v>22404</v>
      </c>
      <c r="M113" s="19">
        <v>3</v>
      </c>
      <c r="N113" s="19">
        <v>1</v>
      </c>
      <c r="O113" s="1">
        <v>0</v>
      </c>
      <c r="P113" s="19">
        <v>3</v>
      </c>
    </row>
    <row r="114" spans="1:16">
      <c r="A114" s="1">
        <v>113</v>
      </c>
      <c r="B114" s="1" t="s">
        <v>217</v>
      </c>
      <c r="C114" s="1" t="s">
        <v>218</v>
      </c>
      <c r="D114" s="1" t="str">
        <f>_xlfn.CONCAT(mmmm[[#This Row],[First Name]]," ",mmmm[[#This Row],[Last Name]])</f>
        <v>Dania Almala</v>
      </c>
      <c r="E114" s="19" t="s">
        <v>27</v>
      </c>
      <c r="F114" s="11">
        <v>42659</v>
      </c>
      <c r="G114" s="19">
        <v>9</v>
      </c>
      <c r="H114" s="19" t="s">
        <v>79</v>
      </c>
      <c r="I114" s="19" t="s">
        <v>32</v>
      </c>
      <c r="J114" s="1" t="s">
        <v>33</v>
      </c>
      <c r="K114" s="19">
        <v>2314</v>
      </c>
      <c r="L114" s="19">
        <v>27768</v>
      </c>
      <c r="M114" s="19">
        <v>2</v>
      </c>
      <c r="N114" s="19">
        <v>0</v>
      </c>
      <c r="O114" s="1">
        <v>3</v>
      </c>
      <c r="P114" s="19">
        <v>5</v>
      </c>
    </row>
    <row r="115" spans="1:16">
      <c r="A115" s="1">
        <v>114</v>
      </c>
      <c r="B115" s="1" t="s">
        <v>219</v>
      </c>
      <c r="C115" s="1" t="s">
        <v>220</v>
      </c>
      <c r="D115" s="1" t="str">
        <f>_xlfn.CONCAT(mmmm[[#This Row],[First Name]]," ",mmmm[[#This Row],[Last Name]])</f>
        <v>Rym Alsydawi</v>
      </c>
      <c r="E115" s="19" t="s">
        <v>27</v>
      </c>
      <c r="F115" s="11">
        <v>42770</v>
      </c>
      <c r="G115" s="19">
        <v>9</v>
      </c>
      <c r="H115" s="19" t="s">
        <v>19</v>
      </c>
      <c r="I115" s="19" t="s">
        <v>24</v>
      </c>
      <c r="J115" s="1" t="s">
        <v>33</v>
      </c>
      <c r="K115" s="19">
        <v>2679</v>
      </c>
      <c r="L115" s="19">
        <v>32148</v>
      </c>
      <c r="M115" s="19">
        <v>5</v>
      </c>
      <c r="N115" s="19">
        <v>6</v>
      </c>
      <c r="O115" s="1">
        <v>0</v>
      </c>
      <c r="P115" s="19">
        <v>1</v>
      </c>
    </row>
    <row r="116" spans="1:16">
      <c r="A116" s="1">
        <v>115</v>
      </c>
      <c r="B116" s="1" t="s">
        <v>221</v>
      </c>
      <c r="C116" s="1" t="s">
        <v>222</v>
      </c>
      <c r="D116" s="1" t="str">
        <f>_xlfn.CONCAT(mmmm[[#This Row],[First Name]]," ",mmmm[[#This Row],[Last Name]])</f>
        <v>Mahir Alshear</v>
      </c>
      <c r="E116" s="19" t="s">
        <v>18</v>
      </c>
      <c r="F116" s="11">
        <v>43618</v>
      </c>
      <c r="G116" s="19">
        <v>7</v>
      </c>
      <c r="H116" s="19" t="s">
        <v>19</v>
      </c>
      <c r="I116" s="19" t="s">
        <v>20</v>
      </c>
      <c r="J116" s="1" t="s">
        <v>39</v>
      </c>
      <c r="K116" s="19">
        <v>3166</v>
      </c>
      <c r="L116" s="19">
        <v>37992</v>
      </c>
      <c r="M116" s="19">
        <v>4.5</v>
      </c>
      <c r="N116" s="19">
        <v>5</v>
      </c>
      <c r="O116" s="1">
        <v>0</v>
      </c>
      <c r="P116" s="19">
        <v>4</v>
      </c>
    </row>
    <row r="117" spans="1:16">
      <c r="A117" s="1">
        <v>116</v>
      </c>
      <c r="B117" s="1" t="s">
        <v>148</v>
      </c>
      <c r="C117" s="1" t="s">
        <v>223</v>
      </c>
      <c r="D117" s="1" t="str">
        <f>_xlfn.CONCAT(mmmm[[#This Row],[First Name]]," ",mmmm[[#This Row],[Last Name]])</f>
        <v>Ibrahim Alhamid</v>
      </c>
      <c r="E117" s="19" t="s">
        <v>18</v>
      </c>
      <c r="F117" s="11">
        <v>43527</v>
      </c>
      <c r="G117" s="19">
        <v>7</v>
      </c>
      <c r="H117" s="19" t="s">
        <v>31</v>
      </c>
      <c r="I117" s="19" t="s">
        <v>32</v>
      </c>
      <c r="J117" s="1" t="s">
        <v>33</v>
      </c>
      <c r="K117" s="19">
        <v>2429</v>
      </c>
      <c r="L117" s="19">
        <v>29148</v>
      </c>
      <c r="M117" s="19">
        <v>5</v>
      </c>
      <c r="N117" s="19">
        <v>0</v>
      </c>
      <c r="O117" s="1">
        <v>0</v>
      </c>
      <c r="P117" s="19">
        <v>7</v>
      </c>
    </row>
    <row r="118" spans="1:16">
      <c r="A118" s="1">
        <v>117</v>
      </c>
      <c r="B118" s="1" t="s">
        <v>36</v>
      </c>
      <c r="C118" s="1" t="s">
        <v>224</v>
      </c>
      <c r="D118" s="1" t="str">
        <f>_xlfn.CONCAT(mmmm[[#This Row],[First Name]]," ",mmmm[[#This Row],[Last Name]])</f>
        <v>Muhamad Alkhayr</v>
      </c>
      <c r="E118" s="19" t="s">
        <v>18</v>
      </c>
      <c r="F118" s="11">
        <v>43744</v>
      </c>
      <c r="G118" s="19">
        <v>6</v>
      </c>
      <c r="H118" s="19" t="s">
        <v>31</v>
      </c>
      <c r="I118" s="19" t="s">
        <v>32</v>
      </c>
      <c r="J118" s="1" t="s">
        <v>33</v>
      </c>
      <c r="K118" s="19">
        <v>1865</v>
      </c>
      <c r="L118" s="19">
        <v>22380</v>
      </c>
      <c r="M118" s="19">
        <v>4.5</v>
      </c>
      <c r="N118" s="19">
        <v>0</v>
      </c>
      <c r="O118" s="1">
        <v>0</v>
      </c>
      <c r="P118" s="19">
        <v>4</v>
      </c>
    </row>
    <row r="119" spans="1:16">
      <c r="A119" s="1">
        <v>118</v>
      </c>
      <c r="B119" s="1" t="s">
        <v>36</v>
      </c>
      <c r="C119" s="1" t="s">
        <v>225</v>
      </c>
      <c r="D119" s="1" t="str">
        <f>_xlfn.CONCAT(mmmm[[#This Row],[First Name]]," ",mmmm[[#This Row],[Last Name]])</f>
        <v>Muhamad Bashshar</v>
      </c>
      <c r="E119" s="19" t="s">
        <v>18</v>
      </c>
      <c r="F119" s="11">
        <v>43146</v>
      </c>
      <c r="G119" s="19">
        <v>8</v>
      </c>
      <c r="H119" s="19" t="s">
        <v>44</v>
      </c>
      <c r="I119" s="19" t="s">
        <v>32</v>
      </c>
      <c r="J119" s="1" t="s">
        <v>62</v>
      </c>
      <c r="K119" s="19">
        <v>868</v>
      </c>
      <c r="L119" s="19">
        <v>10416</v>
      </c>
      <c r="M119" s="19">
        <v>4.5</v>
      </c>
      <c r="N119" s="19">
        <v>2</v>
      </c>
      <c r="O119" s="1">
        <v>0</v>
      </c>
      <c r="P119" s="19">
        <v>2</v>
      </c>
    </row>
    <row r="120" spans="1:16">
      <c r="A120" s="1">
        <v>119</v>
      </c>
      <c r="B120" s="1" t="s">
        <v>36</v>
      </c>
      <c r="C120" s="1" t="s">
        <v>226</v>
      </c>
      <c r="D120" s="1" t="str">
        <f>_xlfn.CONCAT(mmmm[[#This Row],[First Name]]," ",mmmm[[#This Row],[Last Name]])</f>
        <v>Muhamad Jhad</v>
      </c>
      <c r="E120" s="19" t="s">
        <v>18</v>
      </c>
      <c r="F120" s="11">
        <v>43558</v>
      </c>
      <c r="G120" s="19">
        <v>7</v>
      </c>
      <c r="H120" s="19" t="s">
        <v>31</v>
      </c>
      <c r="I120" s="19" t="s">
        <v>20</v>
      </c>
      <c r="J120" s="1" t="s">
        <v>21</v>
      </c>
      <c r="K120" s="19">
        <v>3411</v>
      </c>
      <c r="L120" s="19">
        <v>40932</v>
      </c>
      <c r="M120" s="19">
        <v>5</v>
      </c>
      <c r="N120" s="19">
        <v>4</v>
      </c>
      <c r="O120" s="1">
        <v>0</v>
      </c>
      <c r="P120" s="19">
        <v>2</v>
      </c>
    </row>
    <row r="121" spans="1:16">
      <c r="A121" s="1">
        <v>120</v>
      </c>
      <c r="B121" s="1" t="s">
        <v>227</v>
      </c>
      <c r="C121" s="1" t="s">
        <v>228</v>
      </c>
      <c r="D121" s="1" t="str">
        <f>_xlfn.CONCAT(mmmm[[#This Row],[First Name]]," ",mmmm[[#This Row],[Last Name]])</f>
        <v>Limays Ghrz</v>
      </c>
      <c r="E121" s="19" t="s">
        <v>27</v>
      </c>
      <c r="F121" s="11">
        <v>42687</v>
      </c>
      <c r="G121" s="19">
        <v>9</v>
      </c>
      <c r="H121" s="19" t="s">
        <v>60</v>
      </c>
      <c r="I121" s="19" t="s">
        <v>50</v>
      </c>
      <c r="J121" s="1" t="s">
        <v>39</v>
      </c>
      <c r="K121" s="19">
        <v>3324</v>
      </c>
      <c r="L121" s="19">
        <v>39888</v>
      </c>
      <c r="M121" s="19">
        <v>3</v>
      </c>
      <c r="N121" s="19">
        <v>5</v>
      </c>
      <c r="O121" s="1">
        <v>0</v>
      </c>
      <c r="P121" s="19">
        <v>7</v>
      </c>
    </row>
    <row r="122" spans="1:16">
      <c r="A122" s="1">
        <v>121</v>
      </c>
      <c r="B122" s="1" t="s">
        <v>229</v>
      </c>
      <c r="C122" s="1" t="s">
        <v>230</v>
      </c>
      <c r="D122" s="1" t="str">
        <f>_xlfn.CONCAT(mmmm[[#This Row],[First Name]]," ",mmmm[[#This Row],[Last Name]])</f>
        <v>Zaydun Jabir</v>
      </c>
      <c r="E122" s="19" t="s">
        <v>18</v>
      </c>
      <c r="F122" s="11">
        <v>43762</v>
      </c>
      <c r="G122" s="19">
        <v>6</v>
      </c>
      <c r="H122" s="19" t="s">
        <v>31</v>
      </c>
      <c r="I122" s="19" t="s">
        <v>32</v>
      </c>
      <c r="J122" s="1" t="s">
        <v>33</v>
      </c>
      <c r="K122" s="19">
        <v>2715</v>
      </c>
      <c r="L122" s="19">
        <v>32580</v>
      </c>
      <c r="M122" s="19">
        <v>1</v>
      </c>
      <c r="N122" s="19">
        <v>0</v>
      </c>
      <c r="O122" s="1">
        <v>3</v>
      </c>
      <c r="P122" s="19">
        <v>3</v>
      </c>
    </row>
    <row r="123" spans="1:16">
      <c r="A123" s="1">
        <v>122</v>
      </c>
      <c r="B123" s="1" t="s">
        <v>231</v>
      </c>
      <c r="C123" s="1" t="s">
        <v>232</v>
      </c>
      <c r="D123" s="1" t="str">
        <f>_xlfn.CONCAT(mmmm[[#This Row],[First Name]]," ",mmmm[[#This Row],[Last Name]])</f>
        <v>Fatima Zaetar</v>
      </c>
      <c r="E123" s="19" t="s">
        <v>27</v>
      </c>
      <c r="F123" s="11">
        <v>43674</v>
      </c>
      <c r="G123" s="19">
        <v>7</v>
      </c>
      <c r="H123" s="19" t="s">
        <v>79</v>
      </c>
      <c r="I123" s="19" t="s">
        <v>32</v>
      </c>
      <c r="J123" s="1" t="s">
        <v>21</v>
      </c>
      <c r="K123" s="19">
        <v>2664</v>
      </c>
      <c r="L123" s="19">
        <v>31968</v>
      </c>
      <c r="M123" s="19">
        <v>4.5</v>
      </c>
      <c r="N123" s="19">
        <v>1</v>
      </c>
      <c r="O123" s="1">
        <v>0</v>
      </c>
      <c r="P123" s="19">
        <v>9</v>
      </c>
    </row>
    <row r="124" spans="1:16">
      <c r="A124" s="1">
        <v>123</v>
      </c>
      <c r="B124" s="1" t="s">
        <v>197</v>
      </c>
      <c r="C124" s="1" t="s">
        <v>233</v>
      </c>
      <c r="D124" s="1" t="str">
        <f>_xlfn.CONCAT(mmmm[[#This Row],[First Name]]," ",mmmm[[#This Row],[Last Name]])</f>
        <v>Tariq Shakir</v>
      </c>
      <c r="E124" s="19" t="s">
        <v>18</v>
      </c>
      <c r="F124" s="11">
        <v>44134</v>
      </c>
      <c r="G124" s="19">
        <v>5</v>
      </c>
      <c r="H124" s="19" t="s">
        <v>19</v>
      </c>
      <c r="I124" s="19" t="s">
        <v>24</v>
      </c>
      <c r="J124" s="1" t="s">
        <v>33</v>
      </c>
      <c r="K124" s="19">
        <v>1801</v>
      </c>
      <c r="L124" s="19">
        <v>21612</v>
      </c>
      <c r="M124" s="19">
        <v>5</v>
      </c>
      <c r="N124" s="19">
        <v>0</v>
      </c>
      <c r="O124" s="1">
        <v>0</v>
      </c>
      <c r="P124" s="19">
        <v>82</v>
      </c>
    </row>
    <row r="125" spans="1:16">
      <c r="A125" s="1">
        <v>124</v>
      </c>
      <c r="B125" s="1" t="s">
        <v>234</v>
      </c>
      <c r="C125" s="1" t="s">
        <v>235</v>
      </c>
      <c r="D125" s="1" t="str">
        <f>_xlfn.CONCAT(mmmm[[#This Row],[First Name]]," ",mmmm[[#This Row],[Last Name]])</f>
        <v>Ruyda Alhamadii</v>
      </c>
      <c r="E125" s="19" t="s">
        <v>27</v>
      </c>
      <c r="F125" s="11">
        <v>43125</v>
      </c>
      <c r="G125" s="19">
        <v>8</v>
      </c>
      <c r="H125" s="19" t="s">
        <v>31</v>
      </c>
      <c r="I125" s="19" t="s">
        <v>32</v>
      </c>
      <c r="J125" s="1" t="s">
        <v>33</v>
      </c>
      <c r="K125" s="19">
        <v>1452</v>
      </c>
      <c r="L125" s="19">
        <v>17424</v>
      </c>
      <c r="M125" s="19">
        <v>3</v>
      </c>
      <c r="N125" s="19">
        <v>0</v>
      </c>
      <c r="O125" s="1">
        <v>0</v>
      </c>
      <c r="P125" s="19">
        <v>0</v>
      </c>
    </row>
    <row r="126" spans="1:16">
      <c r="A126" s="1">
        <v>125</v>
      </c>
      <c r="B126" s="1" t="s">
        <v>236</v>
      </c>
      <c r="C126" s="1" t="s">
        <v>237</v>
      </c>
      <c r="D126" s="1" t="str">
        <f>_xlfn.CONCAT(mmmm[[#This Row],[First Name]]," ",mmmm[[#This Row],[Last Name]])</f>
        <v>Anwar Almaseud</v>
      </c>
      <c r="E126" s="19" t="s">
        <v>18</v>
      </c>
      <c r="F126" s="11">
        <v>42914</v>
      </c>
      <c r="G126" s="19">
        <v>9</v>
      </c>
      <c r="H126" s="19" t="s">
        <v>19</v>
      </c>
      <c r="I126" s="19" t="s">
        <v>32</v>
      </c>
      <c r="J126" s="1" t="s">
        <v>39</v>
      </c>
      <c r="K126" s="19">
        <v>2358</v>
      </c>
      <c r="L126" s="19">
        <v>28296</v>
      </c>
      <c r="M126" s="19">
        <v>3</v>
      </c>
      <c r="N126" s="19">
        <v>0</v>
      </c>
      <c r="O126" s="1">
        <v>0</v>
      </c>
      <c r="P126" s="19">
        <v>14</v>
      </c>
    </row>
    <row r="127" spans="1:16">
      <c r="A127" s="1">
        <v>126</v>
      </c>
      <c r="B127" s="1" t="s">
        <v>238</v>
      </c>
      <c r="C127" s="1" t="s">
        <v>239</v>
      </c>
      <c r="D127" s="1" t="str">
        <f>_xlfn.CONCAT(mmmm[[#This Row],[First Name]]," ",mmmm[[#This Row],[Last Name]])</f>
        <v>Fayaruz Sabih</v>
      </c>
      <c r="E127" s="19" t="s">
        <v>27</v>
      </c>
      <c r="F127" s="11">
        <v>43688</v>
      </c>
      <c r="G127" s="19">
        <v>6</v>
      </c>
      <c r="H127" s="19" t="s">
        <v>31</v>
      </c>
      <c r="I127" s="19" t="s">
        <v>20</v>
      </c>
      <c r="J127" s="1" t="s">
        <v>39</v>
      </c>
      <c r="K127" s="19">
        <v>784</v>
      </c>
      <c r="L127" s="19">
        <v>9408</v>
      </c>
      <c r="M127" s="19">
        <v>3</v>
      </c>
      <c r="N127" s="19">
        <v>2</v>
      </c>
      <c r="O127" s="1">
        <v>3</v>
      </c>
      <c r="P127" s="19">
        <v>9</v>
      </c>
    </row>
    <row r="128" spans="1:16">
      <c r="A128" s="1">
        <v>127</v>
      </c>
      <c r="B128" s="1" t="s">
        <v>240</v>
      </c>
      <c r="C128" s="1" t="s">
        <v>241</v>
      </c>
      <c r="D128" s="1" t="str">
        <f>_xlfn.CONCAT(mmmm[[#This Row],[First Name]]," ",mmmm[[#This Row],[Last Name]])</f>
        <v>Jwny Alrashid</v>
      </c>
      <c r="E128" s="19" t="s">
        <v>18</v>
      </c>
      <c r="F128" s="11">
        <v>42943</v>
      </c>
      <c r="G128" s="19">
        <v>9</v>
      </c>
      <c r="H128" s="19" t="s">
        <v>31</v>
      </c>
      <c r="I128" s="19" t="s">
        <v>20</v>
      </c>
      <c r="J128" s="1" t="s">
        <v>33</v>
      </c>
      <c r="K128" s="19">
        <v>1423</v>
      </c>
      <c r="L128" s="19">
        <v>17076</v>
      </c>
      <c r="M128" s="19">
        <v>3</v>
      </c>
      <c r="N128" s="19">
        <v>0</v>
      </c>
      <c r="O128" s="1">
        <v>0</v>
      </c>
      <c r="P128" s="19">
        <v>4</v>
      </c>
    </row>
    <row r="129" spans="1:16">
      <c r="A129" s="1">
        <v>128</v>
      </c>
      <c r="B129" s="1" t="s">
        <v>160</v>
      </c>
      <c r="C129" s="1" t="s">
        <v>242</v>
      </c>
      <c r="D129" s="1" t="str">
        <f>_xlfn.CONCAT(mmmm[[#This Row],[First Name]]," ",mmmm[[#This Row],[Last Name]])</f>
        <v>Karam Kiali</v>
      </c>
      <c r="E129" s="19" t="s">
        <v>18</v>
      </c>
      <c r="F129" s="11">
        <v>43309</v>
      </c>
      <c r="G129" s="19">
        <v>8</v>
      </c>
      <c r="H129" s="19" t="s">
        <v>202</v>
      </c>
      <c r="I129" s="19" t="s">
        <v>32</v>
      </c>
      <c r="J129" s="1" t="s">
        <v>33</v>
      </c>
      <c r="K129" s="19">
        <v>2174</v>
      </c>
      <c r="L129" s="19">
        <v>26088</v>
      </c>
      <c r="M129" s="19">
        <v>2</v>
      </c>
      <c r="N129" s="19">
        <v>6</v>
      </c>
      <c r="O129" s="1">
        <v>0</v>
      </c>
      <c r="P129" s="19">
        <v>10</v>
      </c>
    </row>
    <row r="130" spans="1:16">
      <c r="A130" s="1">
        <v>129</v>
      </c>
      <c r="B130" s="1" t="s">
        <v>243</v>
      </c>
      <c r="C130" s="1" t="s">
        <v>244</v>
      </c>
      <c r="D130" s="1" t="str">
        <f>_xlfn.CONCAT(mmmm[[#This Row],[First Name]]," ",mmmm[[#This Row],[Last Name]])</f>
        <v>Jamal Alhalib</v>
      </c>
      <c r="E130" s="19" t="s">
        <v>18</v>
      </c>
      <c r="F130" s="11">
        <v>44030</v>
      </c>
      <c r="G130" s="19">
        <v>6</v>
      </c>
      <c r="H130" s="19" t="s">
        <v>60</v>
      </c>
      <c r="I130" s="19" t="s">
        <v>20</v>
      </c>
      <c r="J130" s="1" t="s">
        <v>39</v>
      </c>
      <c r="K130" s="19">
        <v>2182</v>
      </c>
      <c r="L130" s="19">
        <v>26184</v>
      </c>
      <c r="M130" s="19">
        <v>4.5</v>
      </c>
      <c r="N130" s="19">
        <v>6</v>
      </c>
      <c r="O130" s="1">
        <v>0</v>
      </c>
      <c r="P130" s="19">
        <v>74</v>
      </c>
    </row>
    <row r="131" spans="1:16">
      <c r="A131" s="1">
        <v>130</v>
      </c>
      <c r="B131" s="1" t="s">
        <v>245</v>
      </c>
      <c r="C131" s="1" t="s">
        <v>246</v>
      </c>
      <c r="D131" s="1" t="str">
        <f>_xlfn.CONCAT(mmmm[[#This Row],[First Name]]," ",mmmm[[#This Row],[Last Name]])</f>
        <v>Suzan Alsawis</v>
      </c>
      <c r="E131" s="19" t="s">
        <v>27</v>
      </c>
      <c r="F131" s="11">
        <v>43675</v>
      </c>
      <c r="G131" s="19">
        <v>7</v>
      </c>
      <c r="H131" s="19" t="s">
        <v>19</v>
      </c>
      <c r="I131" s="19" t="s">
        <v>20</v>
      </c>
      <c r="J131" s="1" t="s">
        <v>33</v>
      </c>
      <c r="K131" s="19">
        <v>2437</v>
      </c>
      <c r="L131" s="19">
        <v>29244</v>
      </c>
      <c r="M131" s="19">
        <v>3</v>
      </c>
      <c r="N131" s="19">
        <v>0</v>
      </c>
      <c r="O131" s="1">
        <v>0</v>
      </c>
      <c r="P131" s="19">
        <v>2</v>
      </c>
    </row>
    <row r="132" spans="1:16">
      <c r="A132" s="1">
        <v>131</v>
      </c>
      <c r="B132" s="1" t="s">
        <v>61</v>
      </c>
      <c r="C132" s="1" t="s">
        <v>247</v>
      </c>
      <c r="D132" s="1" t="str">
        <f>_xlfn.CONCAT(mmmm[[#This Row],[First Name]]," ",mmmm[[#This Row],[Last Name]])</f>
        <v>Alaa Efan</v>
      </c>
      <c r="E132" s="19" t="s">
        <v>27</v>
      </c>
      <c r="F132" s="11">
        <v>43726</v>
      </c>
      <c r="G132" s="19">
        <v>6</v>
      </c>
      <c r="H132" s="19" t="s">
        <v>19</v>
      </c>
      <c r="I132" s="19" t="s">
        <v>20</v>
      </c>
      <c r="J132" s="1" t="s">
        <v>33</v>
      </c>
      <c r="K132" s="19">
        <v>926</v>
      </c>
      <c r="L132" s="19">
        <v>11112</v>
      </c>
      <c r="M132" s="19">
        <v>2</v>
      </c>
      <c r="N132" s="19">
        <v>3</v>
      </c>
      <c r="O132" s="1">
        <v>0</v>
      </c>
      <c r="P132" s="19">
        <v>1</v>
      </c>
    </row>
    <row r="133" spans="1:16">
      <c r="A133" s="1">
        <v>132</v>
      </c>
      <c r="B133" s="1" t="s">
        <v>248</v>
      </c>
      <c r="C133" s="1" t="s">
        <v>249</v>
      </c>
      <c r="D133" s="1" t="str">
        <f>_xlfn.CONCAT(mmmm[[#This Row],[First Name]]," ",mmmm[[#This Row],[Last Name]])</f>
        <v>Jihad Aldarawasha</v>
      </c>
      <c r="E133" s="19" t="s">
        <v>18</v>
      </c>
      <c r="F133" s="11">
        <v>42765</v>
      </c>
      <c r="G133" s="19">
        <v>9</v>
      </c>
      <c r="H133" s="19" t="s">
        <v>60</v>
      </c>
      <c r="I133" s="19" t="s">
        <v>32</v>
      </c>
      <c r="J133" s="1" t="s">
        <v>21</v>
      </c>
      <c r="K133" s="19">
        <v>1506</v>
      </c>
      <c r="L133" s="19">
        <v>18072</v>
      </c>
      <c r="M133" s="19">
        <v>3</v>
      </c>
      <c r="N133" s="19">
        <v>0</v>
      </c>
      <c r="O133" s="1">
        <v>0</v>
      </c>
      <c r="P133" s="19">
        <v>1</v>
      </c>
    </row>
    <row r="134" spans="1:16">
      <c r="A134" s="1">
        <v>133</v>
      </c>
      <c r="B134" s="1" t="s">
        <v>36</v>
      </c>
      <c r="C134" s="1" t="s">
        <v>167</v>
      </c>
      <c r="D134" s="1" t="str">
        <f>_xlfn.CONCAT(mmmm[[#This Row],[First Name]]," ",mmmm[[#This Row],[Last Name]])</f>
        <v>Muhamad Khalid</v>
      </c>
      <c r="E134" s="19" t="s">
        <v>18</v>
      </c>
      <c r="F134" s="11">
        <v>43103</v>
      </c>
      <c r="G134" s="19">
        <v>8</v>
      </c>
      <c r="H134" s="19" t="s">
        <v>52</v>
      </c>
      <c r="I134" s="19" t="s">
        <v>24</v>
      </c>
      <c r="J134" s="1" t="s">
        <v>39</v>
      </c>
      <c r="K134" s="19">
        <v>3159</v>
      </c>
      <c r="L134" s="19">
        <v>37908</v>
      </c>
      <c r="M134" s="19">
        <v>5</v>
      </c>
      <c r="N134" s="19">
        <v>0</v>
      </c>
      <c r="O134" s="1">
        <v>0</v>
      </c>
      <c r="P134" s="19">
        <v>10</v>
      </c>
    </row>
    <row r="135" spans="1:16">
      <c r="A135" s="1">
        <v>134</v>
      </c>
      <c r="B135" s="1" t="s">
        <v>250</v>
      </c>
      <c r="C135" s="1" t="s">
        <v>251</v>
      </c>
      <c r="D135" s="1" t="str">
        <f>_xlfn.CONCAT(mmmm[[#This Row],[First Name]]," ",mmmm[[#This Row],[Last Name]])</f>
        <v>Haithim Hujah</v>
      </c>
      <c r="E135" s="19" t="s">
        <v>18</v>
      </c>
      <c r="F135" s="11">
        <v>42982</v>
      </c>
      <c r="G135" s="19">
        <v>8</v>
      </c>
      <c r="H135" s="19" t="s">
        <v>79</v>
      </c>
      <c r="I135" s="19" t="s">
        <v>50</v>
      </c>
      <c r="J135" s="1" t="s">
        <v>39</v>
      </c>
      <c r="K135" s="19">
        <v>1117</v>
      </c>
      <c r="L135" s="19">
        <v>13404</v>
      </c>
      <c r="M135" s="19">
        <v>1</v>
      </c>
      <c r="N135" s="19">
        <v>0</v>
      </c>
      <c r="O135" s="1">
        <v>0</v>
      </c>
      <c r="P135" s="19">
        <v>3</v>
      </c>
    </row>
    <row r="136" spans="1:16">
      <c r="A136" s="1">
        <v>135</v>
      </c>
      <c r="B136" s="1" t="s">
        <v>252</v>
      </c>
      <c r="C136" s="1" t="s">
        <v>253</v>
      </c>
      <c r="D136" s="1" t="str">
        <f>_xlfn.CONCAT(mmmm[[#This Row],[First Name]]," ",mmmm[[#This Row],[Last Name]])</f>
        <v>Duhana Alakhris</v>
      </c>
      <c r="E136" s="19" t="s">
        <v>27</v>
      </c>
      <c r="F136" s="11">
        <v>43265</v>
      </c>
      <c r="G136" s="19">
        <v>8</v>
      </c>
      <c r="H136" s="19" t="s">
        <v>19</v>
      </c>
      <c r="I136" s="19" t="s">
        <v>50</v>
      </c>
      <c r="J136" s="1" t="s">
        <v>21</v>
      </c>
      <c r="K136" s="19">
        <v>2379</v>
      </c>
      <c r="L136" s="19">
        <v>28548</v>
      </c>
      <c r="M136" s="19">
        <v>4.5</v>
      </c>
      <c r="N136" s="19">
        <v>0</v>
      </c>
      <c r="O136" s="1">
        <v>0</v>
      </c>
      <c r="P136" s="19">
        <v>7</v>
      </c>
    </row>
    <row r="137" spans="1:16">
      <c r="A137" s="1">
        <v>136</v>
      </c>
      <c r="B137" s="1" t="s">
        <v>254</v>
      </c>
      <c r="C137" s="1" t="s">
        <v>218</v>
      </c>
      <c r="D137" s="1" t="str">
        <f>_xlfn.CONCAT(mmmm[[#This Row],[First Name]]," ",mmmm[[#This Row],[Last Name]])</f>
        <v>Eazalidin Almala</v>
      </c>
      <c r="E137" s="19" t="s">
        <v>18</v>
      </c>
      <c r="F137" s="11">
        <v>43797</v>
      </c>
      <c r="G137" s="19">
        <v>6</v>
      </c>
      <c r="H137" s="19" t="s">
        <v>31</v>
      </c>
      <c r="I137" s="19" t="s">
        <v>20</v>
      </c>
      <c r="J137" s="1" t="s">
        <v>33</v>
      </c>
      <c r="K137" s="19">
        <v>2372</v>
      </c>
      <c r="L137" s="19">
        <v>28464</v>
      </c>
      <c r="M137" s="19">
        <v>5</v>
      </c>
      <c r="N137" s="19">
        <v>4</v>
      </c>
      <c r="O137" s="1">
        <v>1</v>
      </c>
      <c r="P137" s="19">
        <v>6</v>
      </c>
    </row>
    <row r="138" spans="1:16">
      <c r="A138" s="1">
        <v>137</v>
      </c>
      <c r="B138" s="1" t="s">
        <v>255</v>
      </c>
      <c r="C138" s="1" t="s">
        <v>256</v>
      </c>
      <c r="D138" s="1" t="str">
        <f>_xlfn.CONCAT(mmmm[[#This Row],[First Name]]," ",mmmm[[#This Row],[Last Name]])</f>
        <v>Habib Klizli</v>
      </c>
      <c r="E138" s="19" t="s">
        <v>18</v>
      </c>
      <c r="F138" s="11">
        <v>43870</v>
      </c>
      <c r="G138" s="19">
        <v>6</v>
      </c>
      <c r="H138" s="19" t="s">
        <v>79</v>
      </c>
      <c r="I138" s="19" t="s">
        <v>20</v>
      </c>
      <c r="J138" s="1" t="s">
        <v>39</v>
      </c>
      <c r="K138" s="19">
        <v>2908</v>
      </c>
      <c r="L138" s="19">
        <v>34896</v>
      </c>
      <c r="M138" s="19">
        <v>3</v>
      </c>
      <c r="N138" s="19">
        <v>0</v>
      </c>
      <c r="O138" s="1">
        <v>0</v>
      </c>
      <c r="P138" s="19">
        <v>12</v>
      </c>
    </row>
    <row r="139" spans="1:16">
      <c r="A139" s="1">
        <v>138</v>
      </c>
      <c r="B139" s="1" t="s">
        <v>174</v>
      </c>
      <c r="C139" s="1" t="s">
        <v>257</v>
      </c>
      <c r="D139" s="1" t="str">
        <f>_xlfn.CONCAT(mmmm[[#This Row],[First Name]]," ",mmmm[[#This Row],[Last Name]])</f>
        <v>Rasha Bajubuj</v>
      </c>
      <c r="E139" s="19" t="s">
        <v>27</v>
      </c>
      <c r="F139" s="11">
        <v>43963</v>
      </c>
      <c r="G139" s="19">
        <v>6</v>
      </c>
      <c r="H139" s="19" t="s">
        <v>95</v>
      </c>
      <c r="I139" s="19" t="s">
        <v>20</v>
      </c>
      <c r="J139" s="1" t="s">
        <v>33</v>
      </c>
      <c r="K139" s="19">
        <v>2019</v>
      </c>
      <c r="L139" s="19">
        <v>24228</v>
      </c>
      <c r="M139" s="19">
        <v>3</v>
      </c>
      <c r="N139" s="19">
        <v>5</v>
      </c>
      <c r="O139" s="1">
        <v>2</v>
      </c>
      <c r="P139" s="19">
        <v>15</v>
      </c>
    </row>
    <row r="140" spans="1:16">
      <c r="A140" s="1">
        <v>139</v>
      </c>
      <c r="B140" s="1" t="s">
        <v>221</v>
      </c>
      <c r="C140" s="1" t="s">
        <v>258</v>
      </c>
      <c r="D140" s="1" t="str">
        <f>_xlfn.CONCAT(mmmm[[#This Row],[First Name]]," ",mmmm[[#This Row],[Last Name]])</f>
        <v>Mahir Albaghdadi</v>
      </c>
      <c r="E140" s="19" t="s">
        <v>18</v>
      </c>
      <c r="F140" s="11">
        <v>43249</v>
      </c>
      <c r="G140" s="19">
        <v>8</v>
      </c>
      <c r="H140" s="19" t="s">
        <v>31</v>
      </c>
      <c r="I140" s="19" t="s">
        <v>20</v>
      </c>
      <c r="J140" s="1" t="s">
        <v>39</v>
      </c>
      <c r="K140" s="19">
        <v>877</v>
      </c>
      <c r="L140" s="19">
        <v>10524</v>
      </c>
      <c r="M140" s="19">
        <v>1</v>
      </c>
      <c r="N140" s="19">
        <v>0</v>
      </c>
      <c r="O140" s="1">
        <v>0</v>
      </c>
      <c r="P140" s="19">
        <v>0</v>
      </c>
    </row>
    <row r="141" spans="1:16">
      <c r="A141" s="1">
        <v>140</v>
      </c>
      <c r="B141" s="1" t="s">
        <v>61</v>
      </c>
      <c r="C141" s="1" t="s">
        <v>259</v>
      </c>
      <c r="D141" s="1" t="str">
        <f>_xlfn.CONCAT(mmmm[[#This Row],[First Name]]," ",mmmm[[#This Row],[Last Name]])</f>
        <v>Alaa Almunzilijiu</v>
      </c>
      <c r="E141" s="19" t="s">
        <v>18</v>
      </c>
      <c r="F141" s="11">
        <v>43546</v>
      </c>
      <c r="G141" s="19">
        <v>7</v>
      </c>
      <c r="H141" s="19" t="s">
        <v>60</v>
      </c>
      <c r="I141" s="19" t="s">
        <v>20</v>
      </c>
      <c r="J141" s="1" t="s">
        <v>39</v>
      </c>
      <c r="K141" s="19">
        <v>1043</v>
      </c>
      <c r="L141" s="19">
        <v>12516</v>
      </c>
      <c r="M141" s="19">
        <v>5</v>
      </c>
      <c r="N141" s="19">
        <v>0</v>
      </c>
      <c r="O141" s="1">
        <v>0</v>
      </c>
      <c r="P141" s="19">
        <v>0</v>
      </c>
    </row>
    <row r="142" spans="1:16">
      <c r="A142" s="1">
        <v>141</v>
      </c>
      <c r="B142" s="1" t="s">
        <v>260</v>
      </c>
      <c r="C142" s="1" t="s">
        <v>261</v>
      </c>
      <c r="D142" s="1" t="str">
        <f>_xlfn.CONCAT(mmmm[[#This Row],[First Name]]," ",mmmm[[#This Row],[Last Name]])</f>
        <v>Labanaa Qaziyha</v>
      </c>
      <c r="E142" s="19" t="s">
        <v>27</v>
      </c>
      <c r="F142" s="11">
        <v>43698</v>
      </c>
      <c r="G142" s="19">
        <v>6</v>
      </c>
      <c r="H142" s="19" t="s">
        <v>52</v>
      </c>
      <c r="I142" s="19" t="s">
        <v>32</v>
      </c>
      <c r="J142" s="1" t="s">
        <v>33</v>
      </c>
      <c r="K142" s="19">
        <v>3258</v>
      </c>
      <c r="L142" s="19">
        <v>39096</v>
      </c>
      <c r="M142" s="19">
        <v>3</v>
      </c>
      <c r="N142" s="19">
        <v>3</v>
      </c>
      <c r="O142" s="1">
        <v>0</v>
      </c>
      <c r="P142" s="19">
        <v>0</v>
      </c>
    </row>
    <row r="143" spans="1:16">
      <c r="A143" s="1">
        <v>142</v>
      </c>
      <c r="B143" s="1" t="s">
        <v>262</v>
      </c>
      <c r="C143" s="1" t="s">
        <v>82</v>
      </c>
      <c r="D143" s="1" t="str">
        <f>_xlfn.CONCAT(mmmm[[#This Row],[First Name]]," ",mmmm[[#This Row],[Last Name]])</f>
        <v>Fatnh Abu</v>
      </c>
      <c r="E143" s="19" t="s">
        <v>27</v>
      </c>
      <c r="F143" s="11">
        <v>44165</v>
      </c>
      <c r="G143" s="19">
        <v>5</v>
      </c>
      <c r="H143" s="19" t="s">
        <v>79</v>
      </c>
      <c r="I143" s="19" t="s">
        <v>24</v>
      </c>
      <c r="J143" s="1" t="s">
        <v>39</v>
      </c>
      <c r="K143" s="19">
        <v>976</v>
      </c>
      <c r="L143" s="19">
        <v>11712</v>
      </c>
      <c r="M143" s="19">
        <v>5</v>
      </c>
      <c r="N143" s="19">
        <v>5</v>
      </c>
      <c r="O143" s="1">
        <v>0</v>
      </c>
      <c r="P143" s="19">
        <v>2</v>
      </c>
    </row>
    <row r="144" spans="1:16">
      <c r="A144" s="1">
        <v>143</v>
      </c>
      <c r="B144" s="1" t="s">
        <v>263</v>
      </c>
      <c r="C144" s="1" t="s">
        <v>140</v>
      </c>
      <c r="D144" s="1" t="str">
        <f>_xlfn.CONCAT(mmmm[[#This Row],[First Name]]," ",mmmm[[#This Row],[Last Name]])</f>
        <v>Iilyas Dahadal</v>
      </c>
      <c r="E144" s="19" t="s">
        <v>27</v>
      </c>
      <c r="F144" s="11">
        <v>43571</v>
      </c>
      <c r="G144" s="19">
        <v>7</v>
      </c>
      <c r="H144" s="19" t="s">
        <v>44</v>
      </c>
      <c r="I144" s="19" t="s">
        <v>20</v>
      </c>
      <c r="J144" s="1" t="s">
        <v>33</v>
      </c>
      <c r="K144" s="19">
        <v>3096</v>
      </c>
      <c r="L144" s="19">
        <v>37152</v>
      </c>
      <c r="M144" s="19">
        <v>2</v>
      </c>
      <c r="N144" s="19">
        <v>0</v>
      </c>
      <c r="O144" s="1">
        <v>0</v>
      </c>
      <c r="P144" s="19">
        <v>8</v>
      </c>
    </row>
    <row r="145" spans="1:16">
      <c r="A145" s="1">
        <v>144</v>
      </c>
      <c r="B145" s="1" t="s">
        <v>123</v>
      </c>
      <c r="C145" s="1" t="s">
        <v>264</v>
      </c>
      <c r="D145" s="1" t="str">
        <f>_xlfn.CONCAT(mmmm[[#This Row],[First Name]]," ",mmmm[[#This Row],[Last Name]])</f>
        <v>Rim Huaydi</v>
      </c>
      <c r="E145" s="19" t="s">
        <v>27</v>
      </c>
      <c r="F145" s="11">
        <v>43551</v>
      </c>
      <c r="G145" s="19">
        <v>7</v>
      </c>
      <c r="H145" s="19" t="s">
        <v>78</v>
      </c>
      <c r="I145" s="19" t="s">
        <v>20</v>
      </c>
      <c r="J145" s="1" t="s">
        <v>21</v>
      </c>
      <c r="K145" s="19">
        <v>1985</v>
      </c>
      <c r="L145" s="19">
        <v>23820</v>
      </c>
      <c r="M145" s="19">
        <v>3</v>
      </c>
      <c r="N145" s="19">
        <v>6</v>
      </c>
      <c r="O145" s="1">
        <v>2</v>
      </c>
      <c r="P145" s="19">
        <v>6</v>
      </c>
    </row>
    <row r="146" spans="1:16">
      <c r="A146" s="1">
        <v>145</v>
      </c>
      <c r="B146" s="1" t="s">
        <v>34</v>
      </c>
      <c r="C146" s="1" t="s">
        <v>36</v>
      </c>
      <c r="D146" s="1" t="str">
        <f>_xlfn.CONCAT(mmmm[[#This Row],[First Name]]," ",mmmm[[#This Row],[Last Name]])</f>
        <v>Ahmad Muhamad</v>
      </c>
      <c r="E146" s="19" t="s">
        <v>18</v>
      </c>
      <c r="F146" s="11">
        <v>43850</v>
      </c>
      <c r="G146" s="19">
        <v>6</v>
      </c>
      <c r="H146" s="19" t="s">
        <v>38</v>
      </c>
      <c r="I146" s="19" t="s">
        <v>32</v>
      </c>
      <c r="J146" s="1" t="s">
        <v>33</v>
      </c>
      <c r="K146" s="19">
        <v>2371</v>
      </c>
      <c r="L146" s="19">
        <v>28452</v>
      </c>
      <c r="M146" s="19">
        <v>5</v>
      </c>
      <c r="N146" s="19">
        <v>0</v>
      </c>
      <c r="O146" s="1">
        <v>0</v>
      </c>
      <c r="P146" s="19">
        <v>1</v>
      </c>
    </row>
    <row r="147" spans="1:16">
      <c r="A147" s="1">
        <v>146</v>
      </c>
      <c r="B147" s="1" t="s">
        <v>265</v>
      </c>
      <c r="C147" s="1" t="s">
        <v>266</v>
      </c>
      <c r="D147" s="1" t="str">
        <f>_xlfn.CONCAT(mmmm[[#This Row],[First Name]]," ",mmmm[[#This Row],[Last Name]])</f>
        <v>Abd Alruhmin Almahrus</v>
      </c>
      <c r="E147" s="19" t="s">
        <v>18</v>
      </c>
      <c r="F147" s="11">
        <v>43520</v>
      </c>
      <c r="G147" s="19">
        <v>7</v>
      </c>
      <c r="H147" s="19" t="s">
        <v>79</v>
      </c>
      <c r="I147" s="19" t="s">
        <v>20</v>
      </c>
      <c r="J147" s="1" t="s">
        <v>39</v>
      </c>
      <c r="K147" s="19">
        <v>2562</v>
      </c>
      <c r="L147" s="19">
        <v>30744</v>
      </c>
      <c r="M147" s="19">
        <v>2</v>
      </c>
      <c r="N147" s="19">
        <v>4</v>
      </c>
      <c r="O147" s="1">
        <v>0</v>
      </c>
      <c r="P147" s="19">
        <v>3</v>
      </c>
    </row>
    <row r="148" spans="1:16">
      <c r="A148" s="1">
        <v>147</v>
      </c>
      <c r="B148" s="1" t="s">
        <v>267</v>
      </c>
      <c r="C148" s="1" t="s">
        <v>268</v>
      </c>
      <c r="D148" s="1" t="str">
        <f>_xlfn.CONCAT(mmmm[[#This Row],[First Name]]," ",mmmm[[#This Row],[Last Name]])</f>
        <v>Biaism Tyzry</v>
      </c>
      <c r="E148" s="19" t="s">
        <v>27</v>
      </c>
      <c r="F148" s="11">
        <v>44071</v>
      </c>
      <c r="G148" s="19">
        <v>5</v>
      </c>
      <c r="H148" s="19" t="s">
        <v>19</v>
      </c>
      <c r="I148" s="19" t="s">
        <v>50</v>
      </c>
      <c r="J148" s="1" t="s">
        <v>33</v>
      </c>
      <c r="K148" s="19">
        <v>1254</v>
      </c>
      <c r="L148" s="19">
        <v>15048</v>
      </c>
      <c r="M148" s="19">
        <v>5</v>
      </c>
      <c r="N148" s="19">
        <v>0</v>
      </c>
      <c r="O148" s="1">
        <v>0</v>
      </c>
      <c r="P148" s="19">
        <v>8</v>
      </c>
    </row>
    <row r="149" spans="1:16">
      <c r="A149" s="1">
        <v>148</v>
      </c>
      <c r="B149" s="1" t="s">
        <v>22</v>
      </c>
      <c r="C149" s="1" t="s">
        <v>269</v>
      </c>
      <c r="D149" s="1" t="str">
        <f>_xlfn.CONCAT(mmmm[[#This Row],[First Name]]," ",mmmm[[#This Row],[Last Name]])</f>
        <v>Omar Milatu</v>
      </c>
      <c r="E149" s="19" t="s">
        <v>18</v>
      </c>
      <c r="F149" s="11">
        <v>43173</v>
      </c>
      <c r="G149" s="19">
        <v>8</v>
      </c>
      <c r="H149" s="19" t="s">
        <v>31</v>
      </c>
      <c r="I149" s="19" t="s">
        <v>50</v>
      </c>
      <c r="J149" s="1" t="s">
        <v>33</v>
      </c>
      <c r="K149" s="19">
        <v>793</v>
      </c>
      <c r="L149" s="19">
        <v>9516</v>
      </c>
      <c r="M149" s="19">
        <v>5</v>
      </c>
      <c r="N149" s="19">
        <v>6</v>
      </c>
      <c r="O149" s="1">
        <v>0</v>
      </c>
      <c r="P149" s="19">
        <v>2</v>
      </c>
    </row>
    <row r="150" spans="1:16">
      <c r="A150" s="1">
        <v>149</v>
      </c>
      <c r="B150" s="1" t="s">
        <v>270</v>
      </c>
      <c r="C150" s="1" t="s">
        <v>271</v>
      </c>
      <c r="D150" s="1" t="str">
        <f>_xlfn.CONCAT(mmmm[[#This Row],[First Name]]," ",mmmm[[#This Row],[Last Name]])</f>
        <v>Alyida Nieamah</v>
      </c>
      <c r="E150" s="19" t="s">
        <v>27</v>
      </c>
      <c r="F150" s="11">
        <v>43007</v>
      </c>
      <c r="G150" s="19">
        <v>8</v>
      </c>
      <c r="H150" s="19" t="s">
        <v>120</v>
      </c>
      <c r="I150" s="19" t="s">
        <v>20</v>
      </c>
      <c r="J150" s="1" t="s">
        <v>21</v>
      </c>
      <c r="K150" s="19">
        <v>2416</v>
      </c>
      <c r="L150" s="19">
        <v>28992</v>
      </c>
      <c r="M150" s="19">
        <v>3</v>
      </c>
      <c r="N150" s="19">
        <v>0</v>
      </c>
      <c r="O150" s="1">
        <v>0</v>
      </c>
      <c r="P150" s="19">
        <v>2</v>
      </c>
    </row>
    <row r="151" spans="1:16">
      <c r="A151" s="1">
        <v>150</v>
      </c>
      <c r="B151" s="1" t="s">
        <v>272</v>
      </c>
      <c r="C151" s="1" t="s">
        <v>273</v>
      </c>
      <c r="D151" s="1" t="str">
        <f>_xlfn.CONCAT(mmmm[[#This Row],[First Name]]," ",mmmm[[#This Row],[Last Name]])</f>
        <v>Kamal Hajl</v>
      </c>
      <c r="E151" s="19" t="s">
        <v>18</v>
      </c>
      <c r="F151" s="11">
        <v>42773</v>
      </c>
      <c r="G151" s="19">
        <v>9</v>
      </c>
      <c r="H151" s="19" t="s">
        <v>55</v>
      </c>
      <c r="I151" s="19" t="s">
        <v>50</v>
      </c>
      <c r="J151" s="1" t="s">
        <v>39</v>
      </c>
      <c r="K151" s="19">
        <v>822</v>
      </c>
      <c r="L151" s="19">
        <v>9864</v>
      </c>
      <c r="M151" s="19">
        <v>5</v>
      </c>
      <c r="N151" s="19">
        <v>6</v>
      </c>
      <c r="O151" s="1">
        <v>0</v>
      </c>
      <c r="P151" s="19">
        <v>1</v>
      </c>
    </row>
    <row r="152" spans="1:16">
      <c r="A152" s="1">
        <v>151</v>
      </c>
      <c r="B152" s="1" t="s">
        <v>274</v>
      </c>
      <c r="C152" s="1" t="s">
        <v>275</v>
      </c>
      <c r="D152" s="1" t="str">
        <f>_xlfn.CONCAT(mmmm[[#This Row],[First Name]]," ",mmmm[[#This Row],[Last Name]])</f>
        <v>Amjad Naghnagh</v>
      </c>
      <c r="E152" s="19" t="s">
        <v>18</v>
      </c>
      <c r="F152" s="11">
        <v>44118</v>
      </c>
      <c r="G152" s="19">
        <v>5</v>
      </c>
      <c r="H152" s="19" t="s">
        <v>31</v>
      </c>
      <c r="I152" s="19" t="s">
        <v>20</v>
      </c>
      <c r="J152" s="1" t="s">
        <v>62</v>
      </c>
      <c r="K152" s="19">
        <v>1442</v>
      </c>
      <c r="L152" s="19">
        <v>17304</v>
      </c>
      <c r="M152" s="19">
        <v>5</v>
      </c>
      <c r="N152" s="19">
        <v>2</v>
      </c>
      <c r="O152" s="1">
        <v>1</v>
      </c>
      <c r="P152" s="19">
        <v>23</v>
      </c>
    </row>
    <row r="153" spans="1:16">
      <c r="A153" s="1">
        <v>152</v>
      </c>
      <c r="B153" s="1" t="s">
        <v>40</v>
      </c>
      <c r="C153" s="1" t="s">
        <v>276</v>
      </c>
      <c r="D153" s="1" t="str">
        <f>_xlfn.CONCAT(mmmm[[#This Row],[First Name]]," ",mmmm[[#This Row],[Last Name]])</f>
        <v>Iin Qisi</v>
      </c>
      <c r="E153" s="19" t="s">
        <v>27</v>
      </c>
      <c r="F153" s="11">
        <v>43780</v>
      </c>
      <c r="G153" s="19">
        <v>6</v>
      </c>
      <c r="H153" s="19" t="s">
        <v>52</v>
      </c>
      <c r="I153" s="19" t="s">
        <v>20</v>
      </c>
      <c r="J153" s="1" t="s">
        <v>21</v>
      </c>
      <c r="K153" s="19">
        <v>887</v>
      </c>
      <c r="L153" s="19">
        <v>10644</v>
      </c>
      <c r="M153" s="19">
        <v>4.5</v>
      </c>
      <c r="N153" s="19">
        <v>0</v>
      </c>
      <c r="O153" s="1">
        <v>0</v>
      </c>
      <c r="P153" s="19">
        <v>54</v>
      </c>
    </row>
    <row r="154" spans="1:16">
      <c r="A154" s="1">
        <v>153</v>
      </c>
      <c r="B154" s="1" t="s">
        <v>277</v>
      </c>
      <c r="C154" s="1" t="s">
        <v>278</v>
      </c>
      <c r="D154" s="1" t="str">
        <f>_xlfn.CONCAT(mmmm[[#This Row],[First Name]]," ",mmmm[[#This Row],[Last Name]])</f>
        <v>Basmah Alhabis</v>
      </c>
      <c r="E154" s="19" t="s">
        <v>27</v>
      </c>
      <c r="F154" s="11">
        <v>42792</v>
      </c>
      <c r="G154" s="19">
        <v>9</v>
      </c>
      <c r="H154" s="19" t="s">
        <v>31</v>
      </c>
      <c r="I154" s="19" t="s">
        <v>20</v>
      </c>
      <c r="J154" s="1" t="s">
        <v>39</v>
      </c>
      <c r="K154" s="19">
        <v>1671</v>
      </c>
      <c r="L154" s="19">
        <v>20052</v>
      </c>
      <c r="M154" s="19">
        <v>2</v>
      </c>
      <c r="N154" s="19">
        <v>0</v>
      </c>
      <c r="O154" s="1">
        <v>0</v>
      </c>
      <c r="P154" s="19">
        <v>3</v>
      </c>
    </row>
    <row r="155" spans="1:16">
      <c r="A155" s="1">
        <v>154</v>
      </c>
      <c r="B155" s="1" t="s">
        <v>91</v>
      </c>
      <c r="C155" s="1" t="s">
        <v>279</v>
      </c>
      <c r="D155" s="1" t="str">
        <f>_xlfn.CONCAT(mmmm[[#This Row],[First Name]]," ",mmmm[[#This Row],[Last Name]])</f>
        <v>Eala Dahbur</v>
      </c>
      <c r="E155" s="19" t="s">
        <v>27</v>
      </c>
      <c r="F155" s="11">
        <v>43551</v>
      </c>
      <c r="G155" s="19">
        <v>7</v>
      </c>
      <c r="H155" s="19" t="s">
        <v>44</v>
      </c>
      <c r="I155" s="19" t="s">
        <v>32</v>
      </c>
      <c r="J155" s="1" t="s">
        <v>33</v>
      </c>
      <c r="K155" s="19">
        <v>1877</v>
      </c>
      <c r="L155" s="19">
        <v>22524</v>
      </c>
      <c r="M155" s="19">
        <v>4.5</v>
      </c>
      <c r="N155" s="19">
        <v>1</v>
      </c>
      <c r="O155" s="1">
        <v>0</v>
      </c>
      <c r="P155" s="19">
        <v>0</v>
      </c>
    </row>
    <row r="156" spans="1:16">
      <c r="A156" s="1">
        <v>155</v>
      </c>
      <c r="B156" s="1" t="s">
        <v>280</v>
      </c>
      <c r="C156" s="1" t="s">
        <v>281</v>
      </c>
      <c r="D156" s="1" t="str">
        <f>_xlfn.CONCAT(mmmm[[#This Row],[First Name]]," ",mmmm[[#This Row],[Last Name]])</f>
        <v>Rwbyna Iibrahim</v>
      </c>
      <c r="E156" s="19" t="s">
        <v>27</v>
      </c>
      <c r="F156" s="11">
        <v>43529</v>
      </c>
      <c r="G156" s="19">
        <v>7</v>
      </c>
      <c r="H156" s="19" t="s">
        <v>52</v>
      </c>
      <c r="I156" s="19" t="s">
        <v>32</v>
      </c>
      <c r="J156" s="1" t="s">
        <v>39</v>
      </c>
      <c r="K156" s="19">
        <v>1960</v>
      </c>
      <c r="L156" s="19">
        <v>23520</v>
      </c>
      <c r="M156" s="19">
        <v>2</v>
      </c>
      <c r="N156" s="19">
        <v>0</v>
      </c>
      <c r="O156" s="1">
        <v>0</v>
      </c>
      <c r="P156" s="19">
        <v>8</v>
      </c>
    </row>
    <row r="157" spans="1:16">
      <c r="A157" s="1">
        <v>156</v>
      </c>
      <c r="B157" s="1" t="s">
        <v>197</v>
      </c>
      <c r="C157" s="1" t="s">
        <v>68</v>
      </c>
      <c r="D157" s="1" t="str">
        <f>_xlfn.CONCAT(mmmm[[#This Row],[First Name]]," ",mmmm[[#This Row],[Last Name]])</f>
        <v>Tariq Salim</v>
      </c>
      <c r="E157" s="19" t="s">
        <v>18</v>
      </c>
      <c r="F157" s="11">
        <v>43300</v>
      </c>
      <c r="G157" s="19">
        <v>8</v>
      </c>
      <c r="H157" s="19" t="s">
        <v>31</v>
      </c>
      <c r="I157" s="19" t="s">
        <v>32</v>
      </c>
      <c r="J157" s="1" t="s">
        <v>33</v>
      </c>
      <c r="K157" s="19">
        <v>2422</v>
      </c>
      <c r="L157" s="19">
        <v>29064</v>
      </c>
      <c r="M157" s="19">
        <v>4.5</v>
      </c>
      <c r="N157" s="19">
        <v>0</v>
      </c>
      <c r="O157" s="1">
        <v>2</v>
      </c>
      <c r="P157" s="19">
        <v>10</v>
      </c>
    </row>
    <row r="158" spans="1:16">
      <c r="A158" s="1">
        <v>157</v>
      </c>
      <c r="B158" s="1" t="s">
        <v>282</v>
      </c>
      <c r="C158" s="1" t="s">
        <v>283</v>
      </c>
      <c r="D158" s="1" t="str">
        <f>_xlfn.CONCAT(mmmm[[#This Row],[First Name]]," ",mmmm[[#This Row],[Last Name]])</f>
        <v>Basimah Sybea</v>
      </c>
      <c r="E158" s="19" t="s">
        <v>27</v>
      </c>
      <c r="F158" s="11">
        <v>43683</v>
      </c>
      <c r="G158" s="19">
        <v>7</v>
      </c>
      <c r="H158" s="19" t="s">
        <v>31</v>
      </c>
      <c r="I158" s="19" t="s">
        <v>24</v>
      </c>
      <c r="J158" s="1" t="s">
        <v>33</v>
      </c>
      <c r="K158" s="19">
        <v>1299</v>
      </c>
      <c r="L158" s="19">
        <v>15588</v>
      </c>
      <c r="M158" s="19">
        <v>5</v>
      </c>
      <c r="N158" s="19">
        <v>0</v>
      </c>
      <c r="O158" s="1">
        <v>0</v>
      </c>
      <c r="P158" s="19">
        <v>8</v>
      </c>
    </row>
    <row r="159" spans="1:16">
      <c r="A159" s="1">
        <v>158</v>
      </c>
      <c r="B159" s="1" t="s">
        <v>284</v>
      </c>
      <c r="C159" s="1" t="s">
        <v>285</v>
      </c>
      <c r="D159" s="1" t="str">
        <f>_xlfn.CONCAT(mmmm[[#This Row],[First Name]]," ",mmmm[[#This Row],[Last Name]])</f>
        <v>Zunar Eali</v>
      </c>
      <c r="E159" s="19" t="s">
        <v>18</v>
      </c>
      <c r="F159" s="11">
        <v>43908</v>
      </c>
      <c r="G159" s="19">
        <v>6</v>
      </c>
      <c r="H159" s="19" t="s">
        <v>28</v>
      </c>
      <c r="I159" s="19" t="s">
        <v>20</v>
      </c>
      <c r="J159" s="1" t="s">
        <v>62</v>
      </c>
      <c r="K159" s="19">
        <v>2127</v>
      </c>
      <c r="L159" s="19">
        <v>25524</v>
      </c>
      <c r="M159" s="19">
        <v>5</v>
      </c>
      <c r="N159" s="19">
        <v>0</v>
      </c>
      <c r="O159" s="1">
        <v>0</v>
      </c>
      <c r="P159" s="19">
        <v>3</v>
      </c>
    </row>
    <row r="160" spans="1:16">
      <c r="A160" s="1">
        <v>159</v>
      </c>
      <c r="B160" s="1" t="s">
        <v>123</v>
      </c>
      <c r="C160" s="1" t="s">
        <v>286</v>
      </c>
      <c r="D160" s="1" t="str">
        <f>_xlfn.CONCAT(mmmm[[#This Row],[First Name]]," ",mmmm[[#This Row],[Last Name]])</f>
        <v>Rim Mia</v>
      </c>
      <c r="E160" s="19" t="s">
        <v>27</v>
      </c>
      <c r="F160" s="11">
        <v>43653</v>
      </c>
      <c r="G160" s="19">
        <v>7</v>
      </c>
      <c r="H160" s="19" t="s">
        <v>19</v>
      </c>
      <c r="I160" s="19" t="s">
        <v>20</v>
      </c>
      <c r="J160" s="1" t="s">
        <v>39</v>
      </c>
      <c r="K160" s="19">
        <v>3096</v>
      </c>
      <c r="L160" s="19">
        <v>37152</v>
      </c>
      <c r="M160" s="19">
        <v>2</v>
      </c>
      <c r="N160" s="19">
        <v>5</v>
      </c>
      <c r="O160" s="1">
        <v>0</v>
      </c>
      <c r="P160" s="19">
        <v>9</v>
      </c>
    </row>
    <row r="161" spans="1:16">
      <c r="A161" s="1">
        <v>160</v>
      </c>
      <c r="B161" s="1" t="s">
        <v>287</v>
      </c>
      <c r="C161" s="1" t="s">
        <v>288</v>
      </c>
      <c r="D161" s="1" t="str">
        <f>_xlfn.CONCAT(mmmm[[#This Row],[First Name]]," ",mmmm[[#This Row],[Last Name]])</f>
        <v>Lana Alhabash</v>
      </c>
      <c r="E161" s="19" t="s">
        <v>27</v>
      </c>
      <c r="F161" s="11">
        <v>42405</v>
      </c>
      <c r="G161" s="19">
        <v>10</v>
      </c>
      <c r="H161" s="19" t="s">
        <v>31</v>
      </c>
      <c r="I161" s="19" t="s">
        <v>20</v>
      </c>
      <c r="J161" s="1" t="s">
        <v>21</v>
      </c>
      <c r="K161" s="19">
        <v>951</v>
      </c>
      <c r="L161" s="19">
        <v>11412</v>
      </c>
      <c r="M161" s="19">
        <v>1</v>
      </c>
      <c r="N161" s="19">
        <v>6</v>
      </c>
      <c r="O161" s="1">
        <v>0</v>
      </c>
      <c r="P161" s="19">
        <v>8</v>
      </c>
    </row>
    <row r="162" spans="1:16">
      <c r="A162" s="1">
        <v>161</v>
      </c>
      <c r="B162" s="1" t="s">
        <v>36</v>
      </c>
      <c r="C162" s="1" t="s">
        <v>289</v>
      </c>
      <c r="D162" s="1" t="str">
        <f>_xlfn.CONCAT(mmmm[[#This Row],[First Name]]," ",mmmm[[#This Row],[Last Name]])</f>
        <v>Muhamad Alshghry</v>
      </c>
      <c r="E162" s="19" t="s">
        <v>18</v>
      </c>
      <c r="F162" s="11">
        <v>43967</v>
      </c>
      <c r="G162" s="19">
        <v>6</v>
      </c>
      <c r="H162" s="19" t="s">
        <v>31</v>
      </c>
      <c r="I162" s="19" t="s">
        <v>20</v>
      </c>
      <c r="J162" s="1" t="s">
        <v>39</v>
      </c>
      <c r="K162" s="19">
        <v>2940</v>
      </c>
      <c r="L162" s="19">
        <v>35280</v>
      </c>
      <c r="M162" s="19">
        <v>1</v>
      </c>
      <c r="N162" s="19">
        <v>6</v>
      </c>
      <c r="O162" s="1">
        <v>0</v>
      </c>
      <c r="P162" s="19">
        <v>13</v>
      </c>
    </row>
    <row r="163" spans="1:16">
      <c r="A163" s="1">
        <v>162</v>
      </c>
      <c r="B163" s="1" t="s">
        <v>290</v>
      </c>
      <c r="C163" s="1" t="s">
        <v>291</v>
      </c>
      <c r="D163" s="1" t="str">
        <f>_xlfn.CONCAT(mmmm[[#This Row],[First Name]]," ",mmmm[[#This Row],[Last Name]])</f>
        <v>Ghazal Hisan</v>
      </c>
      <c r="E163" s="19" t="s">
        <v>27</v>
      </c>
      <c r="F163" s="11">
        <v>44102</v>
      </c>
      <c r="G163" s="19">
        <v>5</v>
      </c>
      <c r="H163" s="19" t="s">
        <v>55</v>
      </c>
      <c r="I163" s="19" t="s">
        <v>24</v>
      </c>
      <c r="J163" s="1" t="s">
        <v>33</v>
      </c>
      <c r="K163" s="19">
        <v>3293</v>
      </c>
      <c r="L163" s="19">
        <v>39516</v>
      </c>
      <c r="M163" s="19">
        <v>4.5</v>
      </c>
      <c r="N163" s="19">
        <v>1</v>
      </c>
      <c r="O163" s="1">
        <v>6</v>
      </c>
      <c r="P163" s="19">
        <v>9</v>
      </c>
    </row>
    <row r="164" spans="1:16">
      <c r="A164" s="1">
        <v>163</v>
      </c>
      <c r="B164" s="1" t="s">
        <v>292</v>
      </c>
      <c r="C164" s="1" t="s">
        <v>293</v>
      </c>
      <c r="D164" s="1" t="str">
        <f>_xlfn.CONCAT(mmmm[[#This Row],[First Name]]," ",mmmm[[#This Row],[Last Name]])</f>
        <v>Khalil Alzaebii</v>
      </c>
      <c r="E164" s="19" t="s">
        <v>18</v>
      </c>
      <c r="F164" s="11">
        <v>42840</v>
      </c>
      <c r="G164" s="19">
        <v>9</v>
      </c>
      <c r="H164" s="19" t="s">
        <v>60</v>
      </c>
      <c r="I164" s="19" t="s">
        <v>32</v>
      </c>
      <c r="J164" s="1" t="s">
        <v>39</v>
      </c>
      <c r="K164" s="19">
        <v>3250</v>
      </c>
      <c r="L164" s="19">
        <v>39000</v>
      </c>
      <c r="M164" s="19">
        <v>2</v>
      </c>
      <c r="N164" s="19">
        <v>1</v>
      </c>
      <c r="O164" s="1">
        <v>0</v>
      </c>
      <c r="P164" s="19">
        <v>8</v>
      </c>
    </row>
    <row r="165" spans="1:16">
      <c r="A165" s="1">
        <v>164</v>
      </c>
      <c r="B165" s="1" t="s">
        <v>71</v>
      </c>
      <c r="C165" s="1" t="s">
        <v>294</v>
      </c>
      <c r="D165" s="1" t="str">
        <f>_xlfn.CONCAT(mmmm[[#This Row],[First Name]]," ",mmmm[[#This Row],[Last Name]])</f>
        <v>Samir Shalish</v>
      </c>
      <c r="E165" s="19" t="s">
        <v>18</v>
      </c>
      <c r="F165" s="11">
        <v>43385</v>
      </c>
      <c r="G165" s="19">
        <v>7</v>
      </c>
      <c r="H165" s="19" t="s">
        <v>44</v>
      </c>
      <c r="I165" s="19" t="s">
        <v>20</v>
      </c>
      <c r="J165" s="1" t="s">
        <v>33</v>
      </c>
      <c r="K165" s="19">
        <v>2085</v>
      </c>
      <c r="L165" s="19">
        <v>25020</v>
      </c>
      <c r="M165" s="19">
        <v>3</v>
      </c>
      <c r="N165" s="19">
        <v>1</v>
      </c>
      <c r="O165" s="1">
        <v>0</v>
      </c>
      <c r="P165" s="19">
        <v>9</v>
      </c>
    </row>
    <row r="166" spans="1:16">
      <c r="A166" s="1">
        <v>165</v>
      </c>
      <c r="B166" s="1" t="s">
        <v>295</v>
      </c>
      <c r="C166" s="1" t="s">
        <v>34</v>
      </c>
      <c r="D166" s="1" t="str">
        <f>_xlfn.CONCAT(mmmm[[#This Row],[First Name]]," ",mmmm[[#This Row],[Last Name]])</f>
        <v>Abdalmjid Ahmad</v>
      </c>
      <c r="E166" s="19" t="s">
        <v>18</v>
      </c>
      <c r="F166" s="11">
        <v>43638</v>
      </c>
      <c r="G166" s="19">
        <v>7</v>
      </c>
      <c r="H166" s="19" t="s">
        <v>31</v>
      </c>
      <c r="I166" s="19" t="s">
        <v>296</v>
      </c>
      <c r="J166" s="1" t="s">
        <v>33</v>
      </c>
      <c r="K166" s="19">
        <v>1578</v>
      </c>
      <c r="L166" s="19">
        <v>18936</v>
      </c>
      <c r="M166" s="19">
        <v>3</v>
      </c>
      <c r="N166" s="19">
        <v>0</v>
      </c>
      <c r="O166" s="1">
        <v>0</v>
      </c>
      <c r="P166" s="19">
        <v>15</v>
      </c>
    </row>
    <row r="167" spans="1:16">
      <c r="A167" s="1">
        <v>166</v>
      </c>
      <c r="B167" s="1" t="s">
        <v>297</v>
      </c>
      <c r="C167" s="1" t="s">
        <v>298</v>
      </c>
      <c r="D167" s="1" t="str">
        <f>_xlfn.CONCAT(mmmm[[#This Row],[First Name]]," ",mmmm[[#This Row],[Last Name]])</f>
        <v>Emar Abil</v>
      </c>
      <c r="E167" s="19" t="s">
        <v>27</v>
      </c>
      <c r="F167" s="11">
        <v>43725</v>
      </c>
      <c r="G167" s="19">
        <v>6</v>
      </c>
      <c r="H167" s="19" t="s">
        <v>44</v>
      </c>
      <c r="I167" s="19" t="s">
        <v>32</v>
      </c>
      <c r="J167" s="1" t="s">
        <v>33</v>
      </c>
      <c r="K167" s="19">
        <v>1169</v>
      </c>
      <c r="L167" s="19">
        <v>14028</v>
      </c>
      <c r="M167" s="19">
        <v>3</v>
      </c>
      <c r="N167" s="19">
        <v>1</v>
      </c>
      <c r="O167" s="1">
        <v>0</v>
      </c>
      <c r="P167" s="19">
        <v>10</v>
      </c>
    </row>
    <row r="168" spans="1:16">
      <c r="A168" s="1">
        <v>167</v>
      </c>
      <c r="B168" s="1" t="s">
        <v>299</v>
      </c>
      <c r="C168" s="1" t="s">
        <v>300</v>
      </c>
      <c r="D168" s="1" t="str">
        <f>_xlfn.CONCAT(mmmm[[#This Row],[First Name]]," ",mmmm[[#This Row],[Last Name]])</f>
        <v>Lamia Warur</v>
      </c>
      <c r="E168" s="19" t="s">
        <v>27</v>
      </c>
      <c r="F168" s="11">
        <v>42927</v>
      </c>
      <c r="G168" s="19">
        <v>9</v>
      </c>
      <c r="H168" s="19" t="s">
        <v>44</v>
      </c>
      <c r="I168" s="19" t="s">
        <v>24</v>
      </c>
      <c r="J168" s="1" t="s">
        <v>62</v>
      </c>
      <c r="K168" s="19">
        <v>1054</v>
      </c>
      <c r="L168" s="19">
        <v>12648</v>
      </c>
      <c r="M168" s="19">
        <v>5</v>
      </c>
      <c r="N168" s="19">
        <v>4</v>
      </c>
      <c r="O168" s="1">
        <v>6</v>
      </c>
      <c r="P168" s="19">
        <v>7</v>
      </c>
    </row>
    <row r="169" spans="1:16">
      <c r="A169" s="1">
        <v>168</v>
      </c>
      <c r="B169" s="1" t="s">
        <v>301</v>
      </c>
      <c r="C169" s="1" t="s">
        <v>82</v>
      </c>
      <c r="D169" s="1" t="str">
        <f>_xlfn.CONCAT(mmmm[[#This Row],[First Name]]," ",mmmm[[#This Row],[Last Name]])</f>
        <v>Fyfian Abu</v>
      </c>
      <c r="E169" s="19" t="s">
        <v>27</v>
      </c>
      <c r="F169" s="11">
        <v>43680</v>
      </c>
      <c r="G169" s="19">
        <v>7</v>
      </c>
      <c r="H169" s="19" t="s">
        <v>44</v>
      </c>
      <c r="I169" s="19" t="s">
        <v>20</v>
      </c>
      <c r="J169" s="1" t="s">
        <v>33</v>
      </c>
      <c r="K169" s="19">
        <v>1349</v>
      </c>
      <c r="L169" s="19">
        <v>16188</v>
      </c>
      <c r="M169" s="19">
        <v>4.5</v>
      </c>
      <c r="N169" s="19">
        <v>1</v>
      </c>
      <c r="O169" s="1">
        <v>0</v>
      </c>
      <c r="P169" s="19">
        <v>4</v>
      </c>
    </row>
    <row r="170" spans="1:16">
      <c r="A170" s="1">
        <v>169</v>
      </c>
      <c r="B170" s="1" t="s">
        <v>302</v>
      </c>
      <c r="C170" s="1" t="s">
        <v>303</v>
      </c>
      <c r="D170" s="1" t="str">
        <f>_xlfn.CONCAT(mmmm[[#This Row],[First Name]]," ",mmmm[[#This Row],[Last Name]])</f>
        <v>Majd Yasin</v>
      </c>
      <c r="E170" s="19" t="s">
        <v>27</v>
      </c>
      <c r="F170" s="11">
        <v>43571</v>
      </c>
      <c r="G170" s="19">
        <v>7</v>
      </c>
      <c r="H170" s="19" t="s">
        <v>19</v>
      </c>
      <c r="I170" s="19" t="s">
        <v>32</v>
      </c>
      <c r="J170" s="1" t="s">
        <v>62</v>
      </c>
      <c r="K170" s="19">
        <v>2196</v>
      </c>
      <c r="L170" s="19">
        <v>26352</v>
      </c>
      <c r="M170" s="19">
        <v>5</v>
      </c>
      <c r="N170" s="19">
        <v>4</v>
      </c>
      <c r="O170" s="1">
        <v>0</v>
      </c>
      <c r="P170" s="19">
        <v>9</v>
      </c>
    </row>
    <row r="171" spans="1:16">
      <c r="A171" s="1">
        <v>170</v>
      </c>
      <c r="B171" s="1" t="s">
        <v>61</v>
      </c>
      <c r="C171" s="1" t="s">
        <v>144</v>
      </c>
      <c r="D171" s="1" t="str">
        <f>_xlfn.CONCAT(mmmm[[#This Row],[First Name]]," ",mmmm[[#This Row],[Last Name]])</f>
        <v>Alaa Almisri</v>
      </c>
      <c r="E171" s="19" t="s">
        <v>27</v>
      </c>
      <c r="F171" s="11">
        <v>43846</v>
      </c>
      <c r="G171" s="19">
        <v>6</v>
      </c>
      <c r="H171" s="19" t="s">
        <v>79</v>
      </c>
      <c r="I171" s="19" t="s">
        <v>20</v>
      </c>
      <c r="J171" s="1" t="s">
        <v>33</v>
      </c>
      <c r="K171" s="19">
        <v>3264</v>
      </c>
      <c r="L171" s="19">
        <v>39168</v>
      </c>
      <c r="M171" s="19">
        <v>5</v>
      </c>
      <c r="N171" s="19">
        <v>6</v>
      </c>
      <c r="O171" s="1">
        <v>5</v>
      </c>
      <c r="P171" s="19">
        <v>4</v>
      </c>
    </row>
    <row r="172" spans="1:16">
      <c r="A172" s="1">
        <v>171</v>
      </c>
      <c r="B172" s="1" t="s">
        <v>36</v>
      </c>
      <c r="C172" s="1" t="s">
        <v>304</v>
      </c>
      <c r="D172" s="1" t="str">
        <f>_xlfn.CONCAT(mmmm[[#This Row],[First Name]]," ",mmmm[[#This Row],[Last Name]])</f>
        <v>Muhamad Amir</v>
      </c>
      <c r="E172" s="19" t="s">
        <v>18</v>
      </c>
      <c r="F172" s="11">
        <v>42942</v>
      </c>
      <c r="G172" s="19">
        <v>9</v>
      </c>
      <c r="H172" s="19" t="s">
        <v>19</v>
      </c>
      <c r="I172" s="19" t="s">
        <v>32</v>
      </c>
      <c r="J172" s="1" t="s">
        <v>39</v>
      </c>
      <c r="K172" s="19">
        <v>1232</v>
      </c>
      <c r="L172" s="19">
        <v>14784</v>
      </c>
      <c r="M172" s="19">
        <v>5</v>
      </c>
      <c r="N172" s="19">
        <v>4</v>
      </c>
      <c r="O172" s="1">
        <v>5</v>
      </c>
      <c r="P172" s="19">
        <v>2</v>
      </c>
    </row>
    <row r="173" spans="1:16">
      <c r="A173" s="1">
        <v>172</v>
      </c>
      <c r="B173" s="1" t="s">
        <v>305</v>
      </c>
      <c r="C173" s="1" t="s">
        <v>306</v>
      </c>
      <c r="D173" s="1" t="str">
        <f>_xlfn.CONCAT(mmmm[[#This Row],[First Name]]," ",mmmm[[#This Row],[Last Name]])</f>
        <v>Lilas Balatah</v>
      </c>
      <c r="E173" s="19" t="s">
        <v>27</v>
      </c>
      <c r="F173" s="11">
        <v>43787</v>
      </c>
      <c r="G173" s="19">
        <v>6</v>
      </c>
      <c r="H173" s="19" t="s">
        <v>52</v>
      </c>
      <c r="I173" s="19" t="s">
        <v>20</v>
      </c>
      <c r="J173" s="1" t="s">
        <v>33</v>
      </c>
      <c r="K173" s="19">
        <v>2401</v>
      </c>
      <c r="L173" s="19">
        <v>28812</v>
      </c>
      <c r="M173" s="19">
        <v>5</v>
      </c>
      <c r="N173" s="19">
        <v>0</v>
      </c>
      <c r="O173" s="1">
        <v>0</v>
      </c>
      <c r="P173" s="19">
        <v>9</v>
      </c>
    </row>
    <row r="174" spans="1:16">
      <c r="A174" s="1">
        <v>173</v>
      </c>
      <c r="B174" s="1" t="s">
        <v>307</v>
      </c>
      <c r="C174" s="1" t="s">
        <v>308</v>
      </c>
      <c r="D174" s="1" t="str">
        <f>_xlfn.CONCAT(mmmm[[#This Row],[First Name]]," ",mmmm[[#This Row],[Last Name]])</f>
        <v>Ruaa Mukiin</v>
      </c>
      <c r="E174" s="19" t="s">
        <v>27</v>
      </c>
      <c r="F174" s="11">
        <v>42994</v>
      </c>
      <c r="G174" s="19">
        <v>8</v>
      </c>
      <c r="H174" s="19" t="s">
        <v>31</v>
      </c>
      <c r="I174" s="19" t="s">
        <v>24</v>
      </c>
      <c r="J174" s="1" t="s">
        <v>33</v>
      </c>
      <c r="K174" s="19">
        <v>3168</v>
      </c>
      <c r="L174" s="19">
        <v>38016</v>
      </c>
      <c r="M174" s="19">
        <v>5</v>
      </c>
      <c r="N174" s="19">
        <v>0</v>
      </c>
      <c r="O174" s="1">
        <v>0</v>
      </c>
      <c r="P174" s="19">
        <v>18</v>
      </c>
    </row>
    <row r="175" spans="1:16">
      <c r="A175" s="1">
        <v>174</v>
      </c>
      <c r="B175" s="1" t="s">
        <v>84</v>
      </c>
      <c r="C175" s="1" t="s">
        <v>309</v>
      </c>
      <c r="D175" s="1" t="str">
        <f>_xlfn.CONCAT(mmmm[[#This Row],[First Name]]," ",mmmm[[#This Row],[Last Name]])</f>
        <v>Rana Shaeban</v>
      </c>
      <c r="E175" s="19" t="s">
        <v>27</v>
      </c>
      <c r="F175" s="11">
        <v>43148</v>
      </c>
      <c r="G175" s="19">
        <v>8</v>
      </c>
      <c r="H175" s="19" t="s">
        <v>79</v>
      </c>
      <c r="I175" s="19" t="s">
        <v>20</v>
      </c>
      <c r="J175" s="1" t="s">
        <v>33</v>
      </c>
      <c r="K175" s="19">
        <v>1620</v>
      </c>
      <c r="L175" s="19">
        <v>19440</v>
      </c>
      <c r="M175" s="19">
        <v>5</v>
      </c>
      <c r="N175" s="19">
        <v>5</v>
      </c>
      <c r="O175" s="1">
        <v>0</v>
      </c>
      <c r="P175" s="19">
        <v>10</v>
      </c>
    </row>
    <row r="176" spans="1:16">
      <c r="A176" s="1">
        <v>175</v>
      </c>
      <c r="B176" s="1" t="s">
        <v>153</v>
      </c>
      <c r="C176" s="1" t="s">
        <v>310</v>
      </c>
      <c r="D176" s="1" t="str">
        <f>_xlfn.CONCAT(mmmm[[#This Row],[First Name]]," ",mmmm[[#This Row],[Last Name]])</f>
        <v>Muwmin Ewad</v>
      </c>
      <c r="E176" s="19" t="s">
        <v>18</v>
      </c>
      <c r="F176" s="11">
        <v>42892</v>
      </c>
      <c r="G176" s="19">
        <v>9</v>
      </c>
      <c r="H176" s="19" t="s">
        <v>19</v>
      </c>
      <c r="I176" s="19" t="s">
        <v>32</v>
      </c>
      <c r="J176" s="1" t="s">
        <v>33</v>
      </c>
      <c r="K176" s="19">
        <v>1482</v>
      </c>
      <c r="L176" s="19">
        <v>17784</v>
      </c>
      <c r="M176" s="19">
        <v>5</v>
      </c>
      <c r="N176" s="19">
        <v>0</v>
      </c>
      <c r="O176" s="1">
        <v>0</v>
      </c>
      <c r="P176" s="19">
        <v>3</v>
      </c>
    </row>
    <row r="177" spans="1:16">
      <c r="A177" s="1">
        <v>176</v>
      </c>
      <c r="B177" s="1" t="s">
        <v>311</v>
      </c>
      <c r="C177" s="1" t="s">
        <v>312</v>
      </c>
      <c r="D177" s="1" t="str">
        <f>_xlfn.CONCAT(mmmm[[#This Row],[First Name]]," ",mmmm[[#This Row],[Last Name]])</f>
        <v>Rahaf Alaleppoy</v>
      </c>
      <c r="E177" s="19" t="s">
        <v>27</v>
      </c>
      <c r="F177" s="11">
        <v>43939</v>
      </c>
      <c r="G177" s="19">
        <v>6</v>
      </c>
      <c r="H177" s="19" t="s">
        <v>44</v>
      </c>
      <c r="I177" s="19" t="s">
        <v>20</v>
      </c>
      <c r="J177" s="1" t="s">
        <v>33</v>
      </c>
      <c r="K177" s="19">
        <v>1967</v>
      </c>
      <c r="L177" s="19">
        <v>23604</v>
      </c>
      <c r="M177" s="19">
        <v>4.5</v>
      </c>
      <c r="N177" s="19">
        <v>6</v>
      </c>
      <c r="O177" s="1">
        <v>0</v>
      </c>
      <c r="P177" s="19">
        <v>6</v>
      </c>
    </row>
    <row r="178" spans="1:16">
      <c r="A178" s="1">
        <v>177</v>
      </c>
      <c r="B178" s="1" t="s">
        <v>313</v>
      </c>
      <c r="C178" s="1" t="s">
        <v>314</v>
      </c>
      <c r="D178" s="1" t="str">
        <f>_xlfn.CONCAT(mmmm[[#This Row],[First Name]]," ",mmmm[[#This Row],[Last Name]])</f>
        <v>Samiah Alsaedi</v>
      </c>
      <c r="E178" s="19" t="s">
        <v>27</v>
      </c>
      <c r="F178" s="11">
        <v>43175</v>
      </c>
      <c r="G178" s="19">
        <v>8</v>
      </c>
      <c r="H178" s="19" t="s">
        <v>31</v>
      </c>
      <c r="I178" s="19" t="s">
        <v>20</v>
      </c>
      <c r="J178" s="1" t="s">
        <v>33</v>
      </c>
      <c r="K178" s="19">
        <v>1696</v>
      </c>
      <c r="L178" s="19">
        <v>20352</v>
      </c>
      <c r="M178" s="19">
        <v>5</v>
      </c>
      <c r="N178" s="19">
        <v>0</v>
      </c>
      <c r="O178" s="1">
        <v>0</v>
      </c>
      <c r="P178" s="19">
        <v>5</v>
      </c>
    </row>
    <row r="179" spans="1:16">
      <c r="A179" s="1">
        <v>178</v>
      </c>
      <c r="B179" s="1" t="s">
        <v>123</v>
      </c>
      <c r="C179" s="1" t="s">
        <v>315</v>
      </c>
      <c r="D179" s="1" t="str">
        <f>_xlfn.CONCAT(mmmm[[#This Row],[First Name]]," ",mmmm[[#This Row],[Last Name]])</f>
        <v>Rim Hamdu</v>
      </c>
      <c r="E179" s="19" t="s">
        <v>27</v>
      </c>
      <c r="F179" s="11">
        <v>43458</v>
      </c>
      <c r="G179" s="19">
        <v>7</v>
      </c>
      <c r="H179" s="19" t="s">
        <v>55</v>
      </c>
      <c r="I179" s="19" t="s">
        <v>20</v>
      </c>
      <c r="J179" s="1" t="s">
        <v>62</v>
      </c>
      <c r="K179" s="19">
        <v>2913</v>
      </c>
      <c r="L179" s="19">
        <v>34956</v>
      </c>
      <c r="M179" s="19">
        <v>4.5</v>
      </c>
      <c r="N179" s="19">
        <v>0</v>
      </c>
      <c r="O179" s="1">
        <v>0</v>
      </c>
      <c r="P179" s="19">
        <v>3</v>
      </c>
    </row>
    <row r="180" spans="1:16">
      <c r="A180" s="1">
        <v>179</v>
      </c>
      <c r="B180" s="1" t="s">
        <v>316</v>
      </c>
      <c r="C180" s="1" t="s">
        <v>317</v>
      </c>
      <c r="D180" s="1" t="str">
        <f>_xlfn.CONCAT(mmmm[[#This Row],[First Name]]," ",mmmm[[#This Row],[Last Name]])</f>
        <v>Aishah Alquatliu</v>
      </c>
      <c r="E180" s="19" t="s">
        <v>27</v>
      </c>
      <c r="F180" s="11">
        <v>43897</v>
      </c>
      <c r="G180" s="19">
        <v>6</v>
      </c>
      <c r="H180" s="19" t="s">
        <v>79</v>
      </c>
      <c r="I180" s="19" t="s">
        <v>296</v>
      </c>
      <c r="J180" s="1" t="s">
        <v>62</v>
      </c>
      <c r="K180" s="19">
        <v>2068</v>
      </c>
      <c r="L180" s="19">
        <v>24816</v>
      </c>
      <c r="M180" s="19">
        <v>1</v>
      </c>
      <c r="N180" s="19">
        <v>0</v>
      </c>
      <c r="O180" s="1">
        <v>1</v>
      </c>
      <c r="P180" s="19">
        <v>0</v>
      </c>
    </row>
    <row r="181" spans="1:16">
      <c r="A181" s="1">
        <v>180</v>
      </c>
      <c r="B181" s="1" t="s">
        <v>318</v>
      </c>
      <c r="C181" s="1" t="s">
        <v>319</v>
      </c>
      <c r="D181" s="1" t="str">
        <f>_xlfn.CONCAT(mmmm[[#This Row],[First Name]]," ",mmmm[[#This Row],[Last Name]])</f>
        <v>Dany Albaba</v>
      </c>
      <c r="E181" s="19" t="s">
        <v>18</v>
      </c>
      <c r="F181" s="11">
        <v>43398</v>
      </c>
      <c r="G181" s="19">
        <v>7</v>
      </c>
      <c r="H181" s="19" t="s">
        <v>165</v>
      </c>
      <c r="I181" s="19" t="s">
        <v>32</v>
      </c>
      <c r="J181" s="1" t="s">
        <v>39</v>
      </c>
      <c r="K181" s="19">
        <v>1430</v>
      </c>
      <c r="L181" s="19">
        <v>17160</v>
      </c>
      <c r="M181" s="19">
        <v>3</v>
      </c>
      <c r="N181" s="19">
        <v>6</v>
      </c>
      <c r="O181" s="1">
        <v>0</v>
      </c>
      <c r="P181" s="19">
        <v>0</v>
      </c>
    </row>
    <row r="182" spans="1:16">
      <c r="A182" s="1">
        <v>181</v>
      </c>
      <c r="B182" s="1" t="s">
        <v>36</v>
      </c>
      <c r="C182" s="1" t="s">
        <v>320</v>
      </c>
      <c r="D182" s="1" t="str">
        <f>_xlfn.CONCAT(mmmm[[#This Row],[First Name]]," ",mmmm[[#This Row],[Last Name]])</f>
        <v>Muhamad Rinkusi</v>
      </c>
      <c r="E182" s="19" t="s">
        <v>18</v>
      </c>
      <c r="F182" s="11">
        <v>43250</v>
      </c>
      <c r="G182" s="19">
        <v>8</v>
      </c>
      <c r="H182" s="19" t="s">
        <v>44</v>
      </c>
      <c r="I182" s="19" t="s">
        <v>24</v>
      </c>
      <c r="J182" s="1" t="s">
        <v>39</v>
      </c>
      <c r="K182" s="19">
        <v>3138</v>
      </c>
      <c r="L182" s="19">
        <v>37656</v>
      </c>
      <c r="M182" s="19">
        <v>1</v>
      </c>
      <c r="N182" s="19">
        <v>0</v>
      </c>
      <c r="O182" s="1">
        <v>5</v>
      </c>
      <c r="P182" s="19">
        <v>9</v>
      </c>
    </row>
    <row r="183" spans="1:16">
      <c r="A183" s="1">
        <v>182</v>
      </c>
      <c r="B183" s="1" t="s">
        <v>321</v>
      </c>
      <c r="C183" s="1" t="s">
        <v>322</v>
      </c>
      <c r="D183" s="1" t="str">
        <f>_xlfn.CONCAT(mmmm[[#This Row],[First Name]]," ",mmmm[[#This Row],[Last Name]])</f>
        <v>Isam Jadid</v>
      </c>
      <c r="E183" s="19" t="s">
        <v>18</v>
      </c>
      <c r="F183" s="11">
        <v>44169</v>
      </c>
      <c r="G183" s="19">
        <v>5</v>
      </c>
      <c r="H183" s="19" t="s">
        <v>31</v>
      </c>
      <c r="I183" s="19" t="s">
        <v>20</v>
      </c>
      <c r="J183" s="1" t="s">
        <v>33</v>
      </c>
      <c r="K183" s="19">
        <v>2051</v>
      </c>
      <c r="L183" s="19">
        <v>24612</v>
      </c>
      <c r="M183" s="19">
        <v>3</v>
      </c>
      <c r="N183" s="19">
        <v>0</v>
      </c>
      <c r="O183" s="1">
        <v>0</v>
      </c>
      <c r="P183" s="19">
        <v>2</v>
      </c>
    </row>
    <row r="184" spans="1:16">
      <c r="A184" s="1">
        <v>183</v>
      </c>
      <c r="B184" s="1" t="s">
        <v>323</v>
      </c>
      <c r="C184" s="1" t="s">
        <v>324</v>
      </c>
      <c r="D184" s="1" t="str">
        <f>_xlfn.CONCAT(mmmm[[#This Row],[First Name]]," ",mmmm[[#This Row],[Last Name]])</f>
        <v>Bushraa Drwysh</v>
      </c>
      <c r="E184" s="19" t="s">
        <v>27</v>
      </c>
      <c r="F184" s="11">
        <v>43351</v>
      </c>
      <c r="G184" s="19">
        <v>7</v>
      </c>
      <c r="H184" s="19" t="s">
        <v>55</v>
      </c>
      <c r="I184" s="19" t="s">
        <v>20</v>
      </c>
      <c r="J184" s="1" t="s">
        <v>39</v>
      </c>
      <c r="K184" s="19">
        <v>2986</v>
      </c>
      <c r="L184" s="19">
        <v>35832</v>
      </c>
      <c r="M184" s="19">
        <v>1</v>
      </c>
      <c r="N184" s="19">
        <v>3</v>
      </c>
      <c r="O184" s="1">
        <v>0</v>
      </c>
      <c r="P184" s="19">
        <v>8</v>
      </c>
    </row>
    <row r="185" spans="1:16">
      <c r="A185" s="1">
        <v>184</v>
      </c>
      <c r="B185" s="1" t="s">
        <v>325</v>
      </c>
      <c r="C185" s="1" t="s">
        <v>326</v>
      </c>
      <c r="D185" s="1" t="str">
        <f>_xlfn.CONCAT(mmmm[[#This Row],[First Name]]," ",mmmm[[#This Row],[Last Name]])</f>
        <v>Zakarian Rashwani</v>
      </c>
      <c r="E185" s="19" t="s">
        <v>18</v>
      </c>
      <c r="F185" s="11">
        <v>43524</v>
      </c>
      <c r="G185" s="19">
        <v>7</v>
      </c>
      <c r="H185" s="19" t="s">
        <v>31</v>
      </c>
      <c r="I185" s="19" t="s">
        <v>50</v>
      </c>
      <c r="J185" s="1" t="s">
        <v>33</v>
      </c>
      <c r="K185" s="19">
        <v>2790</v>
      </c>
      <c r="L185" s="19">
        <v>33480</v>
      </c>
      <c r="M185" s="19">
        <v>5</v>
      </c>
      <c r="N185" s="19">
        <v>6</v>
      </c>
      <c r="O185" s="1">
        <v>0</v>
      </c>
      <c r="P185" s="19">
        <v>3</v>
      </c>
    </row>
    <row r="186" spans="1:16">
      <c r="A186" s="1">
        <v>185</v>
      </c>
      <c r="B186" s="1" t="s">
        <v>199</v>
      </c>
      <c r="C186" s="1" t="s">
        <v>327</v>
      </c>
      <c r="D186" s="1" t="str">
        <f>_xlfn.CONCAT(mmmm[[#This Row],[First Name]]," ",mmmm[[#This Row],[Last Name]])</f>
        <v>Fadi Alqadi</v>
      </c>
      <c r="E186" s="19" t="s">
        <v>18</v>
      </c>
      <c r="F186" s="11">
        <v>44182</v>
      </c>
      <c r="G186" s="19">
        <v>5</v>
      </c>
      <c r="H186" s="19" t="s">
        <v>55</v>
      </c>
      <c r="I186" s="19" t="s">
        <v>20</v>
      </c>
      <c r="J186" s="1" t="s">
        <v>33</v>
      </c>
      <c r="K186" s="19">
        <v>1075</v>
      </c>
      <c r="L186" s="19">
        <v>12900</v>
      </c>
      <c r="M186" s="19">
        <v>4.5</v>
      </c>
      <c r="N186" s="19">
        <v>6</v>
      </c>
      <c r="O186" s="1">
        <v>0</v>
      </c>
      <c r="P186" s="19">
        <v>7</v>
      </c>
    </row>
    <row r="187" spans="1:16">
      <c r="A187" s="1">
        <v>186</v>
      </c>
      <c r="B187" s="1" t="s">
        <v>328</v>
      </c>
      <c r="C187" s="1" t="s">
        <v>329</v>
      </c>
      <c r="D187" s="1" t="str">
        <f>_xlfn.CONCAT(mmmm[[#This Row],[First Name]]," ",mmmm[[#This Row],[Last Name]])</f>
        <v>Diea Almarstani</v>
      </c>
      <c r="E187" s="19" t="s">
        <v>18</v>
      </c>
      <c r="F187" s="11">
        <v>43592</v>
      </c>
      <c r="G187" s="19">
        <v>7</v>
      </c>
      <c r="H187" s="19" t="s">
        <v>42</v>
      </c>
      <c r="I187" s="19" t="s">
        <v>50</v>
      </c>
      <c r="J187" s="1" t="s">
        <v>33</v>
      </c>
      <c r="K187" s="19">
        <v>2009</v>
      </c>
      <c r="L187" s="19">
        <v>24108</v>
      </c>
      <c r="M187" s="19">
        <v>1</v>
      </c>
      <c r="N187" s="19">
        <v>5</v>
      </c>
      <c r="O187" s="1">
        <v>0</v>
      </c>
      <c r="P187" s="19">
        <v>0</v>
      </c>
    </row>
    <row r="188" spans="1:16">
      <c r="A188" s="1">
        <v>187</v>
      </c>
      <c r="B188" s="1" t="s">
        <v>36</v>
      </c>
      <c r="C188" s="1" t="s">
        <v>330</v>
      </c>
      <c r="D188" s="1" t="str">
        <f>_xlfn.CONCAT(mmmm[[#This Row],[First Name]]," ",mmmm[[#This Row],[Last Name]])</f>
        <v>Muhamad Siedih</v>
      </c>
      <c r="E188" s="19" t="s">
        <v>18</v>
      </c>
      <c r="F188" s="11">
        <v>43315</v>
      </c>
      <c r="G188" s="19">
        <v>8</v>
      </c>
      <c r="H188" s="19" t="s">
        <v>78</v>
      </c>
      <c r="I188" s="19" t="s">
        <v>20</v>
      </c>
      <c r="J188" s="1" t="s">
        <v>33</v>
      </c>
      <c r="K188" s="19">
        <v>3254</v>
      </c>
      <c r="L188" s="19">
        <v>39048</v>
      </c>
      <c r="M188" s="19">
        <v>3</v>
      </c>
      <c r="N188" s="19">
        <v>4</v>
      </c>
      <c r="O188" s="1">
        <v>6</v>
      </c>
      <c r="P188" s="19">
        <v>5</v>
      </c>
    </row>
    <row r="189" spans="1:16">
      <c r="A189" s="1">
        <v>188</v>
      </c>
      <c r="B189" s="1" t="s">
        <v>331</v>
      </c>
      <c r="C189" s="1" t="s">
        <v>144</v>
      </c>
      <c r="D189" s="1" t="str">
        <f>_xlfn.CONCAT(mmmm[[#This Row],[First Name]]," ",mmmm[[#This Row],[Last Name]])</f>
        <v>Bisam Almisri</v>
      </c>
      <c r="E189" s="19" t="s">
        <v>27</v>
      </c>
      <c r="F189" s="11">
        <v>43755</v>
      </c>
      <c r="G189" s="19">
        <v>6</v>
      </c>
      <c r="H189" s="19" t="s">
        <v>120</v>
      </c>
      <c r="I189" s="19" t="s">
        <v>32</v>
      </c>
      <c r="J189" s="1" t="s">
        <v>33</v>
      </c>
      <c r="K189" s="19">
        <v>2367</v>
      </c>
      <c r="L189" s="19">
        <v>28404</v>
      </c>
      <c r="M189" s="19">
        <v>3</v>
      </c>
      <c r="N189" s="19">
        <v>0</v>
      </c>
      <c r="O189" s="1">
        <v>0</v>
      </c>
      <c r="P189" s="19">
        <v>1</v>
      </c>
    </row>
    <row r="190" spans="1:16">
      <c r="A190" s="1">
        <v>189</v>
      </c>
      <c r="B190" s="1" t="s">
        <v>36</v>
      </c>
      <c r="C190" s="1" t="s">
        <v>169</v>
      </c>
      <c r="D190" s="1" t="str">
        <f>_xlfn.CONCAT(mmmm[[#This Row],[First Name]]," ",mmmm[[#This Row],[Last Name]])</f>
        <v>Muhamad Alkhatib</v>
      </c>
      <c r="E190" s="19" t="s">
        <v>18</v>
      </c>
      <c r="F190" s="11">
        <v>43133</v>
      </c>
      <c r="G190" s="19">
        <v>8</v>
      </c>
      <c r="H190" s="19" t="s">
        <v>31</v>
      </c>
      <c r="I190" s="19" t="s">
        <v>32</v>
      </c>
      <c r="J190" s="1" t="s">
        <v>33</v>
      </c>
      <c r="K190" s="19">
        <v>3158</v>
      </c>
      <c r="L190" s="19">
        <v>37896</v>
      </c>
      <c r="M190" s="19">
        <v>3</v>
      </c>
      <c r="N190" s="19">
        <v>2</v>
      </c>
      <c r="O190" s="1">
        <v>5</v>
      </c>
      <c r="P190" s="19">
        <v>10</v>
      </c>
    </row>
    <row r="191" spans="1:16">
      <c r="A191" s="1">
        <v>190</v>
      </c>
      <c r="B191" s="1" t="s">
        <v>36</v>
      </c>
      <c r="C191" s="1" t="s">
        <v>332</v>
      </c>
      <c r="D191" s="1" t="str">
        <f>_xlfn.CONCAT(mmmm[[#This Row],[First Name]]," ",mmmm[[#This Row],[Last Name]])</f>
        <v>Muhamad Rghid</v>
      </c>
      <c r="E191" s="19" t="s">
        <v>18</v>
      </c>
      <c r="F191" s="11">
        <v>43826</v>
      </c>
      <c r="G191" s="19">
        <v>6</v>
      </c>
      <c r="H191" s="19" t="s">
        <v>31</v>
      </c>
      <c r="I191" s="19" t="s">
        <v>32</v>
      </c>
      <c r="J191" s="1" t="s">
        <v>33</v>
      </c>
      <c r="K191" s="19">
        <v>1980</v>
      </c>
      <c r="L191" s="19">
        <v>23760</v>
      </c>
      <c r="M191" s="19">
        <v>2</v>
      </c>
      <c r="N191" s="19">
        <v>0</v>
      </c>
      <c r="O191" s="1">
        <v>0</v>
      </c>
      <c r="P191" s="19">
        <v>2</v>
      </c>
    </row>
    <row r="192" spans="1:16">
      <c r="A192" s="1">
        <v>191</v>
      </c>
      <c r="B192" s="1" t="s">
        <v>22</v>
      </c>
      <c r="C192" s="1" t="s">
        <v>233</v>
      </c>
      <c r="D192" s="1" t="str">
        <f>_xlfn.CONCAT(mmmm[[#This Row],[First Name]]," ",mmmm[[#This Row],[Last Name]])</f>
        <v>Omar Shakir</v>
      </c>
      <c r="E192" s="19" t="s">
        <v>18</v>
      </c>
      <c r="F192" s="11">
        <v>43562</v>
      </c>
      <c r="G192" s="19">
        <v>7</v>
      </c>
      <c r="H192" s="19" t="s">
        <v>44</v>
      </c>
      <c r="I192" s="19" t="s">
        <v>20</v>
      </c>
      <c r="J192" s="1" t="s">
        <v>33</v>
      </c>
      <c r="K192" s="19">
        <v>2049</v>
      </c>
      <c r="L192" s="19">
        <v>24588</v>
      </c>
      <c r="M192" s="19">
        <v>3</v>
      </c>
      <c r="N192" s="19">
        <v>6</v>
      </c>
      <c r="O192" s="1">
        <v>0</v>
      </c>
      <c r="P192" s="19">
        <v>23</v>
      </c>
    </row>
    <row r="193" spans="1:16">
      <c r="A193" s="1">
        <v>192</v>
      </c>
      <c r="B193" s="1" t="s">
        <v>333</v>
      </c>
      <c r="C193" s="1" t="s">
        <v>334</v>
      </c>
      <c r="D193" s="1" t="str">
        <f>_xlfn.CONCAT(mmmm[[#This Row],[First Name]]," ",mmmm[[#This Row],[Last Name]])</f>
        <v>Aryj Hamada</v>
      </c>
      <c r="E193" s="19" t="s">
        <v>27</v>
      </c>
      <c r="F193" s="11">
        <v>43978</v>
      </c>
      <c r="G193" s="19">
        <v>6</v>
      </c>
      <c r="H193" s="19" t="s">
        <v>79</v>
      </c>
      <c r="I193" s="19" t="s">
        <v>20</v>
      </c>
      <c r="J193" s="1" t="s">
        <v>39</v>
      </c>
      <c r="K193" s="19">
        <v>2727</v>
      </c>
      <c r="L193" s="19">
        <v>32724</v>
      </c>
      <c r="M193" s="19">
        <v>2</v>
      </c>
      <c r="N193" s="19">
        <v>0</v>
      </c>
      <c r="O193" s="1">
        <v>0</v>
      </c>
      <c r="P193" s="19">
        <v>8</v>
      </c>
    </row>
    <row r="194" spans="1:16">
      <c r="A194" s="1">
        <v>193</v>
      </c>
      <c r="B194" s="1" t="s">
        <v>335</v>
      </c>
      <c r="C194" s="1" t="s">
        <v>336</v>
      </c>
      <c r="D194" s="1" t="str">
        <f>_xlfn.CONCAT(mmmm[[#This Row],[First Name]]," ",mmmm[[#This Row],[Last Name]])</f>
        <v>Madlin Saeid</v>
      </c>
      <c r="E194" s="19" t="s">
        <v>27</v>
      </c>
      <c r="F194" s="11">
        <v>43806</v>
      </c>
      <c r="G194" s="19">
        <v>6</v>
      </c>
      <c r="H194" s="19" t="s">
        <v>31</v>
      </c>
      <c r="I194" s="19" t="s">
        <v>32</v>
      </c>
      <c r="J194" s="1" t="s">
        <v>62</v>
      </c>
      <c r="K194" s="19">
        <v>974</v>
      </c>
      <c r="L194" s="19">
        <v>11688</v>
      </c>
      <c r="M194" s="19">
        <v>5</v>
      </c>
      <c r="N194" s="19">
        <v>0</v>
      </c>
      <c r="O194" s="1">
        <v>0</v>
      </c>
      <c r="P194" s="19">
        <v>9</v>
      </c>
    </row>
    <row r="195" spans="1:16">
      <c r="A195" s="1">
        <v>194</v>
      </c>
      <c r="B195" s="1" t="s">
        <v>337</v>
      </c>
      <c r="C195" s="1" t="s">
        <v>338</v>
      </c>
      <c r="D195" s="1" t="str">
        <f>_xlfn.CONCAT(mmmm[[#This Row],[First Name]]," ",mmmm[[#This Row],[Last Name]])</f>
        <v>Rybal Sabagh</v>
      </c>
      <c r="E195" s="19" t="s">
        <v>18</v>
      </c>
      <c r="F195" s="11">
        <v>43775</v>
      </c>
      <c r="G195" s="19">
        <v>6</v>
      </c>
      <c r="H195" s="19" t="s">
        <v>38</v>
      </c>
      <c r="I195" s="19" t="s">
        <v>32</v>
      </c>
      <c r="J195" s="1" t="s">
        <v>39</v>
      </c>
      <c r="K195" s="19">
        <v>992</v>
      </c>
      <c r="L195" s="19">
        <v>11904</v>
      </c>
      <c r="M195" s="19">
        <v>5</v>
      </c>
      <c r="N195" s="19">
        <v>0</v>
      </c>
      <c r="O195" s="1">
        <v>0</v>
      </c>
      <c r="P195" s="19">
        <v>3</v>
      </c>
    </row>
    <row r="196" spans="1:16">
      <c r="A196" s="1">
        <v>195</v>
      </c>
      <c r="B196" s="1" t="s">
        <v>339</v>
      </c>
      <c r="C196" s="1" t="s">
        <v>340</v>
      </c>
      <c r="D196" s="1" t="str">
        <f>_xlfn.CONCAT(mmmm[[#This Row],[First Name]]," ",mmmm[[#This Row],[Last Name]])</f>
        <v>Samar Alqutb</v>
      </c>
      <c r="E196" s="19" t="s">
        <v>27</v>
      </c>
      <c r="F196" s="11">
        <v>43329</v>
      </c>
      <c r="G196" s="19">
        <v>7</v>
      </c>
      <c r="H196" s="19" t="s">
        <v>44</v>
      </c>
      <c r="I196" s="19" t="s">
        <v>20</v>
      </c>
      <c r="J196" s="1" t="s">
        <v>21</v>
      </c>
      <c r="K196" s="19">
        <v>2730</v>
      </c>
      <c r="L196" s="19">
        <v>32760</v>
      </c>
      <c r="M196" s="19">
        <v>1</v>
      </c>
      <c r="N196" s="19">
        <v>4</v>
      </c>
      <c r="O196" s="1">
        <v>6</v>
      </c>
      <c r="P196" s="19">
        <v>9</v>
      </c>
    </row>
    <row r="197" spans="1:16">
      <c r="A197" s="1">
        <v>196</v>
      </c>
      <c r="B197" s="1" t="s">
        <v>91</v>
      </c>
      <c r="C197" s="1" t="s">
        <v>341</v>
      </c>
      <c r="D197" s="1" t="str">
        <f>_xlfn.CONCAT(mmmm[[#This Row],[First Name]]," ",mmmm[[#This Row],[Last Name]])</f>
        <v>Eala Murad</v>
      </c>
      <c r="E197" s="19" t="s">
        <v>27</v>
      </c>
      <c r="F197" s="11">
        <v>42387</v>
      </c>
      <c r="G197" s="19">
        <v>10</v>
      </c>
      <c r="H197" s="19" t="s">
        <v>55</v>
      </c>
      <c r="I197" s="19" t="s">
        <v>20</v>
      </c>
      <c r="J197" s="1" t="s">
        <v>21</v>
      </c>
      <c r="K197" s="19">
        <v>2804</v>
      </c>
      <c r="L197" s="19">
        <v>33648</v>
      </c>
      <c r="M197" s="19">
        <v>4.5</v>
      </c>
      <c r="N197" s="19">
        <v>0</v>
      </c>
      <c r="O197" s="1">
        <v>0</v>
      </c>
      <c r="P197" s="19">
        <v>4</v>
      </c>
    </row>
    <row r="198" spans="1:16">
      <c r="A198" s="1">
        <v>197</v>
      </c>
      <c r="B198" s="1" t="s">
        <v>34</v>
      </c>
      <c r="C198" s="1" t="s">
        <v>342</v>
      </c>
      <c r="D198" s="1" t="str">
        <f>_xlfn.CONCAT(mmmm[[#This Row],[First Name]]," ",mmmm[[#This Row],[Last Name]])</f>
        <v>Ahmad Salih</v>
      </c>
      <c r="E198" s="19" t="s">
        <v>18</v>
      </c>
      <c r="F198" s="11">
        <v>43558</v>
      </c>
      <c r="G198" s="19">
        <v>7</v>
      </c>
      <c r="H198" s="19" t="s">
        <v>19</v>
      </c>
      <c r="I198" s="19" t="s">
        <v>20</v>
      </c>
      <c r="J198" s="1" t="s">
        <v>33</v>
      </c>
      <c r="K198" s="19">
        <v>1467</v>
      </c>
      <c r="L198" s="19">
        <v>17604</v>
      </c>
      <c r="M198" s="19">
        <v>5</v>
      </c>
      <c r="N198" s="19">
        <v>6</v>
      </c>
      <c r="O198" s="1">
        <v>0</v>
      </c>
      <c r="P198" s="19">
        <v>0</v>
      </c>
    </row>
    <row r="199" spans="1:16">
      <c r="A199" s="1">
        <v>198</v>
      </c>
      <c r="B199" s="1" t="s">
        <v>148</v>
      </c>
      <c r="C199" s="1" t="s">
        <v>223</v>
      </c>
      <c r="D199" s="1" t="str">
        <f>_xlfn.CONCAT(mmmm[[#This Row],[First Name]]," ",mmmm[[#This Row],[Last Name]])</f>
        <v>Ibrahim Alhamid</v>
      </c>
      <c r="E199" s="19" t="s">
        <v>18</v>
      </c>
      <c r="F199" s="11">
        <v>44141</v>
      </c>
      <c r="G199" s="19">
        <v>5</v>
      </c>
      <c r="H199" s="19" t="s">
        <v>28</v>
      </c>
      <c r="I199" s="19" t="s">
        <v>296</v>
      </c>
      <c r="J199" s="1" t="s">
        <v>21</v>
      </c>
      <c r="K199" s="19">
        <v>997</v>
      </c>
      <c r="L199" s="19">
        <v>11964</v>
      </c>
      <c r="M199" s="19">
        <v>5</v>
      </c>
      <c r="N199" s="19">
        <v>1</v>
      </c>
      <c r="O199" s="1">
        <v>0</v>
      </c>
      <c r="P199" s="19">
        <v>68</v>
      </c>
    </row>
    <row r="200" spans="1:16">
      <c r="A200" s="1">
        <v>199</v>
      </c>
      <c r="B200" s="1" t="s">
        <v>36</v>
      </c>
      <c r="C200" s="1" t="s">
        <v>343</v>
      </c>
      <c r="D200" s="1" t="str">
        <f>_xlfn.CONCAT(mmmm[[#This Row],[First Name]]," ",mmmm[[#This Row],[Last Name]])</f>
        <v>Muhamad Alziyat</v>
      </c>
      <c r="E200" s="19" t="s">
        <v>18</v>
      </c>
      <c r="F200" s="11">
        <v>43705</v>
      </c>
      <c r="G200" s="19">
        <v>6</v>
      </c>
      <c r="H200" s="19" t="s">
        <v>44</v>
      </c>
      <c r="I200" s="19" t="s">
        <v>24</v>
      </c>
      <c r="J200" s="1" t="s">
        <v>21</v>
      </c>
      <c r="K200" s="19">
        <v>1859</v>
      </c>
      <c r="L200" s="19">
        <v>22308</v>
      </c>
      <c r="M200" s="19">
        <v>5</v>
      </c>
      <c r="N200" s="19">
        <v>5</v>
      </c>
      <c r="O200" s="1">
        <v>0</v>
      </c>
      <c r="P200" s="19">
        <v>1</v>
      </c>
    </row>
    <row r="201" spans="1:16">
      <c r="A201" s="1">
        <v>200</v>
      </c>
      <c r="B201" s="1" t="s">
        <v>188</v>
      </c>
      <c r="C201" s="1" t="s">
        <v>344</v>
      </c>
      <c r="D201" s="1" t="str">
        <f>_xlfn.CONCAT(mmmm[[#This Row],[First Name]]," ",mmmm[[#This Row],[Last Name]])</f>
        <v>Ali Nhl</v>
      </c>
      <c r="E201" s="19" t="s">
        <v>18</v>
      </c>
      <c r="F201" s="11">
        <v>43711</v>
      </c>
      <c r="G201" s="19">
        <v>6</v>
      </c>
      <c r="H201" s="19" t="s">
        <v>79</v>
      </c>
      <c r="I201" s="19" t="s">
        <v>20</v>
      </c>
      <c r="J201" s="1" t="s">
        <v>39</v>
      </c>
      <c r="K201" s="19">
        <v>1231</v>
      </c>
      <c r="L201" s="19">
        <v>14772</v>
      </c>
      <c r="M201" s="19">
        <v>1</v>
      </c>
      <c r="N201" s="19">
        <v>1</v>
      </c>
      <c r="O201" s="1">
        <v>5</v>
      </c>
      <c r="P201" s="19">
        <v>7</v>
      </c>
    </row>
    <row r="202" spans="1:16">
      <c r="A202" s="1">
        <v>201</v>
      </c>
      <c r="B202" s="1" t="s">
        <v>345</v>
      </c>
      <c r="C202" s="1" t="s">
        <v>346</v>
      </c>
      <c r="D202" s="1" t="str">
        <f>_xlfn.CONCAT(mmmm[[#This Row],[First Name]]," ",mmmm[[#This Row],[Last Name]])</f>
        <v>Saed Alsiyah</v>
      </c>
      <c r="E202" s="19" t="s">
        <v>18</v>
      </c>
      <c r="F202" s="11">
        <v>43665</v>
      </c>
      <c r="G202" s="19">
        <v>7</v>
      </c>
      <c r="H202" s="19" t="s">
        <v>31</v>
      </c>
      <c r="I202" s="19" t="s">
        <v>20</v>
      </c>
      <c r="J202" s="1" t="s">
        <v>33</v>
      </c>
      <c r="K202" s="19">
        <v>719</v>
      </c>
      <c r="L202" s="19">
        <v>8628</v>
      </c>
      <c r="M202" s="19">
        <v>5</v>
      </c>
      <c r="N202" s="19">
        <v>0</v>
      </c>
      <c r="O202" s="1">
        <v>0</v>
      </c>
      <c r="P202" s="19">
        <v>8</v>
      </c>
    </row>
    <row r="203" spans="1:16">
      <c r="A203" s="1">
        <v>202</v>
      </c>
      <c r="B203" s="1" t="s">
        <v>347</v>
      </c>
      <c r="C203" s="1" t="s">
        <v>348</v>
      </c>
      <c r="D203" s="1" t="str">
        <f>_xlfn.CONCAT(mmmm[[#This Row],[First Name]]," ",mmmm[[#This Row],[Last Name]])</f>
        <v>Majdy Rafaea</v>
      </c>
      <c r="E203" s="19" t="s">
        <v>18</v>
      </c>
      <c r="F203" s="11">
        <v>43982</v>
      </c>
      <c r="G203" s="19">
        <v>6</v>
      </c>
      <c r="H203" s="19" t="s">
        <v>95</v>
      </c>
      <c r="I203" s="19" t="s">
        <v>32</v>
      </c>
      <c r="J203" s="1" t="s">
        <v>33</v>
      </c>
      <c r="K203" s="19">
        <v>2186</v>
      </c>
      <c r="L203" s="19">
        <v>26232</v>
      </c>
      <c r="M203" s="19">
        <v>1</v>
      </c>
      <c r="N203" s="19">
        <v>2</v>
      </c>
      <c r="O203" s="1">
        <v>0</v>
      </c>
      <c r="P203" s="19">
        <v>10</v>
      </c>
    </row>
    <row r="204" spans="1:16">
      <c r="A204" s="1">
        <v>203</v>
      </c>
      <c r="B204" s="1" t="s">
        <v>349</v>
      </c>
      <c r="C204" s="1" t="s">
        <v>350</v>
      </c>
      <c r="D204" s="1" t="str">
        <f>_xlfn.CONCAT(mmmm[[#This Row],[First Name]]," ",mmmm[[#This Row],[Last Name]])</f>
        <v>Ihsan Eazu</v>
      </c>
      <c r="E204" s="19" t="s">
        <v>18</v>
      </c>
      <c r="F204" s="11">
        <v>43603</v>
      </c>
      <c r="G204" s="19">
        <v>7</v>
      </c>
      <c r="H204" s="19" t="s">
        <v>90</v>
      </c>
      <c r="I204" s="19" t="s">
        <v>20</v>
      </c>
      <c r="J204" s="1" t="s">
        <v>21</v>
      </c>
      <c r="K204" s="19">
        <v>1605</v>
      </c>
      <c r="L204" s="19">
        <v>19260</v>
      </c>
      <c r="M204" s="19">
        <v>4.5</v>
      </c>
      <c r="N204" s="19">
        <v>5</v>
      </c>
      <c r="O204" s="1">
        <v>4</v>
      </c>
      <c r="P204" s="19">
        <v>9</v>
      </c>
    </row>
    <row r="205" spans="1:16">
      <c r="A205" s="1">
        <v>204</v>
      </c>
      <c r="B205" s="1" t="s">
        <v>51</v>
      </c>
      <c r="C205" s="1" t="s">
        <v>351</v>
      </c>
      <c r="D205" s="1" t="str">
        <f>_xlfn.CONCAT(mmmm[[#This Row],[First Name]]," ",mmmm[[#This Row],[Last Name]])</f>
        <v>Iad Alshaykh</v>
      </c>
      <c r="E205" s="19" t="s">
        <v>18</v>
      </c>
      <c r="F205" s="11">
        <v>43237</v>
      </c>
      <c r="G205" s="19">
        <v>8</v>
      </c>
      <c r="H205" s="19" t="s">
        <v>55</v>
      </c>
      <c r="I205" s="19" t="s">
        <v>20</v>
      </c>
      <c r="J205" s="1" t="s">
        <v>33</v>
      </c>
      <c r="K205" s="19">
        <v>2365</v>
      </c>
      <c r="L205" s="19">
        <v>28380</v>
      </c>
      <c r="M205" s="19">
        <v>1</v>
      </c>
      <c r="N205" s="19">
        <v>0</v>
      </c>
      <c r="O205" s="1">
        <v>0</v>
      </c>
      <c r="P205" s="19">
        <v>73</v>
      </c>
    </row>
    <row r="206" spans="1:16">
      <c r="A206" s="1">
        <v>205</v>
      </c>
      <c r="B206" s="1" t="s">
        <v>352</v>
      </c>
      <c r="C206" s="1" t="s">
        <v>353</v>
      </c>
      <c r="D206" s="1" t="str">
        <f>_xlfn.CONCAT(mmmm[[#This Row],[First Name]]," ",mmmm[[#This Row],[Last Name]])</f>
        <v>Bara Alrrashid</v>
      </c>
      <c r="E206" s="19" t="s">
        <v>18</v>
      </c>
      <c r="F206" s="11">
        <v>42842</v>
      </c>
      <c r="G206" s="19">
        <v>9</v>
      </c>
      <c r="H206" s="19" t="s">
        <v>354</v>
      </c>
      <c r="I206" s="19" t="s">
        <v>50</v>
      </c>
      <c r="J206" s="1" t="s">
        <v>33</v>
      </c>
      <c r="K206" s="19">
        <v>1096</v>
      </c>
      <c r="L206" s="19">
        <v>13152</v>
      </c>
      <c r="M206" s="19">
        <v>4.5</v>
      </c>
      <c r="N206" s="19">
        <v>4</v>
      </c>
      <c r="O206" s="1">
        <v>0</v>
      </c>
      <c r="P206" s="19">
        <v>8</v>
      </c>
    </row>
    <row r="207" spans="1:16">
      <c r="A207" s="1">
        <v>206</v>
      </c>
      <c r="B207" s="1" t="s">
        <v>199</v>
      </c>
      <c r="C207" s="1" t="s">
        <v>355</v>
      </c>
      <c r="D207" s="1" t="str">
        <f>_xlfn.CONCAT(mmmm[[#This Row],[First Name]]," ",mmmm[[#This Row],[Last Name]])</f>
        <v>Fadi Nuna</v>
      </c>
      <c r="E207" s="19" t="s">
        <v>18</v>
      </c>
      <c r="F207" s="11">
        <v>43654</v>
      </c>
      <c r="G207" s="19">
        <v>7</v>
      </c>
      <c r="H207" s="19" t="s">
        <v>55</v>
      </c>
      <c r="I207" s="19" t="s">
        <v>20</v>
      </c>
      <c r="J207" s="1" t="s">
        <v>39</v>
      </c>
      <c r="K207" s="19">
        <v>1037</v>
      </c>
      <c r="L207" s="19">
        <v>12444</v>
      </c>
      <c r="M207" s="19">
        <v>3</v>
      </c>
      <c r="N207" s="19">
        <v>6</v>
      </c>
      <c r="O207" s="1">
        <v>0</v>
      </c>
      <c r="P207" s="19">
        <v>5</v>
      </c>
    </row>
    <row r="208" spans="1:16">
      <c r="A208" s="1">
        <v>207</v>
      </c>
      <c r="B208" s="1" t="s">
        <v>36</v>
      </c>
      <c r="C208" s="1" t="s">
        <v>163</v>
      </c>
      <c r="D208" s="1" t="str">
        <f>_xlfn.CONCAT(mmmm[[#This Row],[First Name]]," ",mmmm[[#This Row],[Last Name]])</f>
        <v>Muhamad Salah</v>
      </c>
      <c r="E208" s="19" t="s">
        <v>18</v>
      </c>
      <c r="F208" s="11">
        <v>44168</v>
      </c>
      <c r="G208" s="19">
        <v>5</v>
      </c>
      <c r="H208" s="19" t="s">
        <v>55</v>
      </c>
      <c r="I208" s="19" t="s">
        <v>50</v>
      </c>
      <c r="J208" s="1" t="s">
        <v>21</v>
      </c>
      <c r="K208" s="19">
        <v>1757</v>
      </c>
      <c r="L208" s="19">
        <v>21084</v>
      </c>
      <c r="M208" s="19">
        <v>2</v>
      </c>
      <c r="N208" s="19">
        <v>6</v>
      </c>
      <c r="O208" s="1">
        <v>0</v>
      </c>
      <c r="P208" s="19">
        <v>13</v>
      </c>
    </row>
    <row r="209" spans="1:16">
      <c r="A209" s="1">
        <v>208</v>
      </c>
      <c r="B209" s="1" t="s">
        <v>356</v>
      </c>
      <c r="C209" s="1" t="s">
        <v>357</v>
      </c>
      <c r="D209" s="1" t="str">
        <f>_xlfn.CONCAT(mmmm[[#This Row],[First Name]]," ",mmmm[[#This Row],[Last Name]])</f>
        <v>Bima Mustafaa</v>
      </c>
      <c r="E209" s="19" t="s">
        <v>27</v>
      </c>
      <c r="F209" s="11">
        <v>44138</v>
      </c>
      <c r="G209" s="19">
        <v>5</v>
      </c>
      <c r="H209" s="19" t="s">
        <v>79</v>
      </c>
      <c r="I209" s="19" t="s">
        <v>20</v>
      </c>
      <c r="J209" s="1" t="s">
        <v>33</v>
      </c>
      <c r="K209" s="19">
        <v>3405</v>
      </c>
      <c r="L209" s="19">
        <v>40860</v>
      </c>
      <c r="M209" s="19">
        <v>5</v>
      </c>
      <c r="N209" s="19">
        <v>0</v>
      </c>
      <c r="O209" s="1">
        <v>0</v>
      </c>
      <c r="P209" s="19">
        <v>1</v>
      </c>
    </row>
    <row r="210" spans="1:16">
      <c r="A210" s="1">
        <v>209</v>
      </c>
      <c r="B210" s="1" t="s">
        <v>358</v>
      </c>
      <c r="C210" s="1" t="s">
        <v>359</v>
      </c>
      <c r="D210" s="1" t="str">
        <f>_xlfn.CONCAT(mmmm[[#This Row],[First Name]]," ",mmmm[[#This Row],[Last Name]])</f>
        <v>Husam Abu Shwmr</v>
      </c>
      <c r="E210" s="19" t="s">
        <v>18</v>
      </c>
      <c r="F210" s="11">
        <v>43262</v>
      </c>
      <c r="G210" s="19">
        <v>8</v>
      </c>
      <c r="H210" s="19" t="s">
        <v>44</v>
      </c>
      <c r="I210" s="19" t="s">
        <v>32</v>
      </c>
      <c r="J210" s="1" t="s">
        <v>21</v>
      </c>
      <c r="K210" s="19">
        <v>2154</v>
      </c>
      <c r="L210" s="19">
        <v>25848</v>
      </c>
      <c r="M210" s="19">
        <v>5</v>
      </c>
      <c r="N210" s="19">
        <v>0</v>
      </c>
      <c r="O210" s="1">
        <v>0</v>
      </c>
      <c r="P210" s="19">
        <v>0</v>
      </c>
    </row>
    <row r="211" spans="1:16">
      <c r="A211" s="1">
        <v>210</v>
      </c>
      <c r="B211" s="1" t="s">
        <v>360</v>
      </c>
      <c r="C211" s="1" t="s">
        <v>361</v>
      </c>
      <c r="D211" s="1" t="str">
        <f>_xlfn.CONCAT(mmmm[[#This Row],[First Name]]," ",mmmm[[#This Row],[Last Name]])</f>
        <v>Abdalrahmin Turkmany</v>
      </c>
      <c r="E211" s="19" t="s">
        <v>18</v>
      </c>
      <c r="F211" s="11">
        <v>43508</v>
      </c>
      <c r="G211" s="19">
        <v>7</v>
      </c>
      <c r="H211" s="19" t="s">
        <v>60</v>
      </c>
      <c r="I211" s="19" t="s">
        <v>20</v>
      </c>
      <c r="J211" s="1" t="s">
        <v>33</v>
      </c>
      <c r="K211" s="19">
        <v>805</v>
      </c>
      <c r="L211" s="19">
        <v>9660</v>
      </c>
      <c r="M211" s="19">
        <v>2</v>
      </c>
      <c r="N211" s="19">
        <v>0</v>
      </c>
      <c r="O211" s="1">
        <v>0</v>
      </c>
      <c r="P211" s="19">
        <v>6</v>
      </c>
    </row>
    <row r="212" spans="1:16">
      <c r="A212" s="1">
        <v>211</v>
      </c>
      <c r="B212" s="1" t="s">
        <v>362</v>
      </c>
      <c r="C212" s="1" t="s">
        <v>363</v>
      </c>
      <c r="D212" s="1" t="str">
        <f>_xlfn.CONCAT(mmmm[[#This Row],[First Name]]," ",mmmm[[#This Row],[Last Name]])</f>
        <v>Majdulyn Alhakim</v>
      </c>
      <c r="E212" s="19" t="s">
        <v>27</v>
      </c>
      <c r="F212" s="11">
        <v>43376</v>
      </c>
      <c r="G212" s="19">
        <v>7</v>
      </c>
      <c r="H212" s="19" t="s">
        <v>202</v>
      </c>
      <c r="I212" s="19" t="s">
        <v>20</v>
      </c>
      <c r="J212" s="1" t="s">
        <v>33</v>
      </c>
      <c r="K212" s="19">
        <v>3093</v>
      </c>
      <c r="L212" s="19">
        <v>37116</v>
      </c>
      <c r="M212" s="19">
        <v>4.5</v>
      </c>
      <c r="N212" s="19">
        <v>0</v>
      </c>
      <c r="O212" s="1">
        <v>0</v>
      </c>
      <c r="P212" s="19">
        <v>10</v>
      </c>
    </row>
    <row r="213" spans="1:16">
      <c r="A213" s="1">
        <v>212</v>
      </c>
      <c r="B213" s="1" t="s">
        <v>34</v>
      </c>
      <c r="C213" s="1" t="s">
        <v>364</v>
      </c>
      <c r="D213" s="1" t="str">
        <f>_xlfn.CONCAT(mmmm[[#This Row],[First Name]]," ",mmmm[[#This Row],[Last Name]])</f>
        <v>Ahmad Abu Jaysh</v>
      </c>
      <c r="E213" s="19" t="s">
        <v>18</v>
      </c>
      <c r="F213" s="11">
        <v>42957</v>
      </c>
      <c r="G213" s="19">
        <v>8</v>
      </c>
      <c r="H213" s="19" t="s">
        <v>120</v>
      </c>
      <c r="I213" s="19" t="s">
        <v>24</v>
      </c>
      <c r="J213" s="1" t="s">
        <v>21</v>
      </c>
      <c r="K213" s="19">
        <v>1039</v>
      </c>
      <c r="L213" s="19">
        <v>12468</v>
      </c>
      <c r="M213" s="19">
        <v>3</v>
      </c>
      <c r="N213" s="19">
        <v>2</v>
      </c>
      <c r="O213" s="1">
        <v>0</v>
      </c>
      <c r="P213" s="19">
        <v>87</v>
      </c>
    </row>
    <row r="214" spans="1:16">
      <c r="A214" s="1">
        <v>213</v>
      </c>
      <c r="B214" s="1" t="s">
        <v>365</v>
      </c>
      <c r="C214" s="1" t="s">
        <v>366</v>
      </c>
      <c r="D214" s="1" t="str">
        <f>_xlfn.CONCAT(mmmm[[#This Row],[First Name]]," ",mmmm[[#This Row],[Last Name]])</f>
        <v>Majid Aleusud</v>
      </c>
      <c r="E214" s="19" t="s">
        <v>18</v>
      </c>
      <c r="F214" s="11">
        <v>43792</v>
      </c>
      <c r="G214" s="19">
        <v>6</v>
      </c>
      <c r="H214" s="19" t="s">
        <v>44</v>
      </c>
      <c r="I214" s="19" t="s">
        <v>20</v>
      </c>
      <c r="J214" s="1" t="s">
        <v>21</v>
      </c>
      <c r="K214" s="19">
        <v>1012</v>
      </c>
      <c r="L214" s="19">
        <v>12144</v>
      </c>
      <c r="M214" s="19">
        <v>3</v>
      </c>
      <c r="N214" s="19">
        <v>1</v>
      </c>
      <c r="O214" s="1">
        <v>0</v>
      </c>
      <c r="P214" s="19">
        <v>7</v>
      </c>
    </row>
    <row r="215" spans="1:16">
      <c r="A215" s="1">
        <v>214</v>
      </c>
      <c r="B215" s="1" t="s">
        <v>225</v>
      </c>
      <c r="C215" s="1" t="s">
        <v>367</v>
      </c>
      <c r="D215" s="1" t="str">
        <f>_xlfn.CONCAT(mmmm[[#This Row],[First Name]]," ",mmmm[[#This Row],[Last Name]])</f>
        <v>Bashshar Shakhashiru</v>
      </c>
      <c r="E215" s="19" t="s">
        <v>18</v>
      </c>
      <c r="F215" s="11">
        <v>42899</v>
      </c>
      <c r="G215" s="19">
        <v>9</v>
      </c>
      <c r="H215" s="19" t="s">
        <v>42</v>
      </c>
      <c r="I215" s="19" t="s">
        <v>20</v>
      </c>
      <c r="J215" s="1" t="s">
        <v>33</v>
      </c>
      <c r="K215" s="19">
        <v>2216</v>
      </c>
      <c r="L215" s="19">
        <v>26592</v>
      </c>
      <c r="M215" s="19">
        <v>2</v>
      </c>
      <c r="N215" s="19">
        <v>0</v>
      </c>
      <c r="O215" s="1">
        <v>0</v>
      </c>
      <c r="P215" s="19">
        <v>11</v>
      </c>
    </row>
    <row r="216" spans="1:16">
      <c r="A216" s="1">
        <v>215</v>
      </c>
      <c r="B216" s="1" t="s">
        <v>368</v>
      </c>
      <c r="C216" s="1" t="s">
        <v>351</v>
      </c>
      <c r="D216" s="1" t="str">
        <f>_xlfn.CONCAT(mmmm[[#This Row],[First Name]]," ",mmmm[[#This Row],[Last Name]])</f>
        <v>Malik Alshaykh</v>
      </c>
      <c r="E216" s="19" t="s">
        <v>18</v>
      </c>
      <c r="F216" s="11">
        <v>44163</v>
      </c>
      <c r="G216" s="19">
        <v>5</v>
      </c>
      <c r="H216" s="19" t="s">
        <v>79</v>
      </c>
      <c r="I216" s="19" t="s">
        <v>20</v>
      </c>
      <c r="J216" s="1" t="s">
        <v>62</v>
      </c>
      <c r="K216" s="19">
        <v>2020</v>
      </c>
      <c r="L216" s="19">
        <v>24240</v>
      </c>
      <c r="M216" s="19">
        <v>4.5</v>
      </c>
      <c r="N216" s="19">
        <v>0</v>
      </c>
      <c r="O216" s="1">
        <v>5</v>
      </c>
      <c r="P216" s="19">
        <v>0</v>
      </c>
    </row>
    <row r="217" spans="1:16">
      <c r="A217" s="1">
        <v>216</v>
      </c>
      <c r="B217" s="1" t="s">
        <v>22</v>
      </c>
      <c r="C217" s="1" t="s">
        <v>369</v>
      </c>
      <c r="D217" s="1" t="str">
        <f>_xlfn.CONCAT(mmmm[[#This Row],[First Name]]," ",mmmm[[#This Row],[Last Name]])</f>
        <v>Omar Zarzur</v>
      </c>
      <c r="E217" s="19" t="s">
        <v>18</v>
      </c>
      <c r="F217" s="11">
        <v>42680</v>
      </c>
      <c r="G217" s="19">
        <v>9</v>
      </c>
      <c r="H217" s="19" t="s">
        <v>38</v>
      </c>
      <c r="I217" s="19" t="s">
        <v>32</v>
      </c>
      <c r="J217" s="1" t="s">
        <v>39</v>
      </c>
      <c r="K217" s="19">
        <v>3309</v>
      </c>
      <c r="L217" s="19">
        <v>39708</v>
      </c>
      <c r="M217" s="19">
        <v>4.5</v>
      </c>
      <c r="N217" s="19">
        <v>1</v>
      </c>
      <c r="O217" s="1">
        <v>0</v>
      </c>
      <c r="P217" s="19">
        <v>7</v>
      </c>
    </row>
    <row r="218" spans="1:16">
      <c r="A218" s="1">
        <v>217</v>
      </c>
      <c r="B218" s="1" t="s">
        <v>370</v>
      </c>
      <c r="C218" s="1" t="s">
        <v>371</v>
      </c>
      <c r="D218" s="1" t="str">
        <f>_xlfn.CONCAT(mmmm[[#This Row],[First Name]]," ",mmmm[[#This Row],[Last Name]])</f>
        <v>Hasan Iismaeil</v>
      </c>
      <c r="E218" s="19" t="s">
        <v>18</v>
      </c>
      <c r="F218" s="11">
        <v>43956</v>
      </c>
      <c r="G218" s="19">
        <v>6</v>
      </c>
      <c r="H218" s="19" t="s">
        <v>44</v>
      </c>
      <c r="I218" s="19" t="s">
        <v>32</v>
      </c>
      <c r="J218" s="1" t="s">
        <v>39</v>
      </c>
      <c r="K218" s="19">
        <v>983</v>
      </c>
      <c r="L218" s="19">
        <v>11796</v>
      </c>
      <c r="M218" s="19">
        <v>2</v>
      </c>
      <c r="N218" s="19">
        <v>6</v>
      </c>
      <c r="O218" s="1">
        <v>0</v>
      </c>
      <c r="P218" s="19">
        <v>0</v>
      </c>
    </row>
    <row r="219" spans="1:16">
      <c r="A219" s="1">
        <v>218</v>
      </c>
      <c r="B219" s="1" t="s">
        <v>66</v>
      </c>
      <c r="C219" s="1" t="s">
        <v>372</v>
      </c>
      <c r="D219" s="1" t="str">
        <f>_xlfn.CONCAT(mmmm[[#This Row],[First Name]]," ",mmmm[[#This Row],[Last Name]])</f>
        <v>Husayn Abu Nasir</v>
      </c>
      <c r="E219" s="19" t="s">
        <v>18</v>
      </c>
      <c r="F219" s="11">
        <v>43184</v>
      </c>
      <c r="G219" s="19">
        <v>8</v>
      </c>
      <c r="H219" s="19" t="s">
        <v>31</v>
      </c>
      <c r="I219" s="19" t="s">
        <v>20</v>
      </c>
      <c r="J219" s="1" t="s">
        <v>33</v>
      </c>
      <c r="K219" s="19">
        <v>741</v>
      </c>
      <c r="L219" s="19">
        <v>8892</v>
      </c>
      <c r="M219" s="19">
        <v>3</v>
      </c>
      <c r="N219" s="19">
        <v>0</v>
      </c>
      <c r="O219" s="1">
        <v>0</v>
      </c>
      <c r="P219" s="19">
        <v>1</v>
      </c>
    </row>
    <row r="220" spans="1:16">
      <c r="A220" s="1">
        <v>219</v>
      </c>
      <c r="B220" s="1" t="s">
        <v>172</v>
      </c>
      <c r="C220" s="1" t="s">
        <v>373</v>
      </c>
      <c r="D220" s="1" t="str">
        <f>_xlfn.CONCAT(mmmm[[#This Row],[First Name]]," ",mmmm[[#This Row],[Last Name]])</f>
        <v>Mazin Earabi</v>
      </c>
      <c r="E220" s="19" t="s">
        <v>18</v>
      </c>
      <c r="F220" s="11">
        <v>42626</v>
      </c>
      <c r="G220" s="19">
        <v>9</v>
      </c>
      <c r="H220" s="19" t="s">
        <v>44</v>
      </c>
      <c r="I220" s="19" t="s">
        <v>32</v>
      </c>
      <c r="J220" s="1" t="s">
        <v>33</v>
      </c>
      <c r="K220" s="19">
        <v>1171</v>
      </c>
      <c r="L220" s="19">
        <v>14052</v>
      </c>
      <c r="M220" s="19">
        <v>4.5</v>
      </c>
      <c r="N220" s="19">
        <v>0</v>
      </c>
      <c r="O220" s="1">
        <v>0</v>
      </c>
      <c r="P220" s="19">
        <v>0</v>
      </c>
    </row>
    <row r="221" spans="1:16">
      <c r="A221" s="1">
        <v>220</v>
      </c>
      <c r="B221" s="1" t="s">
        <v>374</v>
      </c>
      <c r="C221" s="1" t="s">
        <v>375</v>
      </c>
      <c r="D221" s="1" t="str">
        <f>_xlfn.CONCAT(mmmm[[#This Row],[First Name]]," ",mmmm[[#This Row],[Last Name]])</f>
        <v>Zahir Eisaa</v>
      </c>
      <c r="E221" s="19" t="s">
        <v>18</v>
      </c>
      <c r="F221" s="11">
        <v>43817</v>
      </c>
      <c r="G221" s="19">
        <v>6</v>
      </c>
      <c r="H221" s="19" t="s">
        <v>79</v>
      </c>
      <c r="I221" s="19" t="s">
        <v>20</v>
      </c>
      <c r="J221" s="1" t="s">
        <v>39</v>
      </c>
      <c r="K221" s="19">
        <v>2512</v>
      </c>
      <c r="L221" s="19">
        <v>30144</v>
      </c>
      <c r="M221" s="19">
        <v>5</v>
      </c>
      <c r="N221" s="19">
        <v>6</v>
      </c>
      <c r="O221" s="1">
        <v>0</v>
      </c>
      <c r="P221" s="19">
        <v>10</v>
      </c>
    </row>
    <row r="222" spans="1:16">
      <c r="A222" s="1">
        <v>221</v>
      </c>
      <c r="B222" s="1" t="s">
        <v>376</v>
      </c>
      <c r="C222" s="1" t="s">
        <v>377</v>
      </c>
      <c r="D222" s="1" t="str">
        <f>_xlfn.CONCAT(mmmm[[#This Row],[First Name]]," ",mmmm[[#This Row],[Last Name]])</f>
        <v>Lama Sabiq</v>
      </c>
      <c r="E222" s="19" t="s">
        <v>27</v>
      </c>
      <c r="F222" s="11">
        <v>43553</v>
      </c>
      <c r="G222" s="19">
        <v>7</v>
      </c>
      <c r="H222" s="19" t="s">
        <v>19</v>
      </c>
      <c r="I222" s="19" t="s">
        <v>20</v>
      </c>
      <c r="J222" s="1" t="s">
        <v>21</v>
      </c>
      <c r="K222" s="19">
        <v>1608</v>
      </c>
      <c r="L222" s="19">
        <v>19296</v>
      </c>
      <c r="M222" s="19">
        <v>1</v>
      </c>
      <c r="N222" s="19">
        <v>0</v>
      </c>
      <c r="O222" s="1">
        <v>3</v>
      </c>
      <c r="P222" s="19">
        <v>4</v>
      </c>
    </row>
    <row r="223" spans="1:16">
      <c r="A223" s="1">
        <v>222</v>
      </c>
      <c r="B223" s="1" t="s">
        <v>197</v>
      </c>
      <c r="C223" s="1" t="s">
        <v>378</v>
      </c>
      <c r="D223" s="1" t="str">
        <f>_xlfn.CONCAT(mmmm[[#This Row],[First Name]]," ",mmmm[[#This Row],[Last Name]])</f>
        <v>Tariq Dw</v>
      </c>
      <c r="E223" s="19" t="s">
        <v>18</v>
      </c>
      <c r="F223" s="11">
        <v>43945</v>
      </c>
      <c r="G223" s="19">
        <v>6</v>
      </c>
      <c r="H223" s="19" t="s">
        <v>79</v>
      </c>
      <c r="I223" s="19" t="s">
        <v>32</v>
      </c>
      <c r="J223" s="1" t="s">
        <v>39</v>
      </c>
      <c r="K223" s="19">
        <v>1677</v>
      </c>
      <c r="L223" s="19">
        <v>20124</v>
      </c>
      <c r="M223" s="19">
        <v>1</v>
      </c>
      <c r="N223" s="19">
        <v>0</v>
      </c>
      <c r="O223" s="1">
        <v>0</v>
      </c>
      <c r="P223" s="19">
        <v>12</v>
      </c>
    </row>
    <row r="224" spans="1:16">
      <c r="A224" s="1">
        <v>223</v>
      </c>
      <c r="B224" s="1" t="s">
        <v>379</v>
      </c>
      <c r="C224" s="1" t="s">
        <v>380</v>
      </c>
      <c r="D224" s="1" t="str">
        <f>_xlfn.CONCAT(mmmm[[#This Row],[First Name]]," ",mmmm[[#This Row],[Last Name]])</f>
        <v>Jawaher Shaykhus</v>
      </c>
      <c r="E224" s="19" t="s">
        <v>27</v>
      </c>
      <c r="F224" s="11">
        <v>43215</v>
      </c>
      <c r="G224" s="19">
        <v>8</v>
      </c>
      <c r="H224" s="19" t="s">
        <v>79</v>
      </c>
      <c r="I224" s="19" t="s">
        <v>20</v>
      </c>
      <c r="J224" s="1" t="s">
        <v>21</v>
      </c>
      <c r="K224" s="19">
        <v>3414</v>
      </c>
      <c r="L224" s="19">
        <v>40968</v>
      </c>
      <c r="M224" s="19">
        <v>5</v>
      </c>
      <c r="N224" s="19">
        <v>0</v>
      </c>
      <c r="O224" s="1">
        <v>0</v>
      </c>
      <c r="P224" s="19">
        <v>2</v>
      </c>
    </row>
    <row r="225" spans="1:16">
      <c r="A225" s="1">
        <v>224</v>
      </c>
      <c r="B225" s="1" t="s">
        <v>381</v>
      </c>
      <c r="C225" s="1" t="s">
        <v>382</v>
      </c>
      <c r="D225" s="1" t="str">
        <f>_xlfn.CONCAT(mmmm[[#This Row],[First Name]]," ",mmmm[[#This Row],[Last Name]])</f>
        <v>Emam Mansur</v>
      </c>
      <c r="E225" s="19" t="s">
        <v>18</v>
      </c>
      <c r="F225" s="11">
        <v>43553</v>
      </c>
      <c r="G225" s="19">
        <v>7</v>
      </c>
      <c r="H225" s="19" t="s">
        <v>79</v>
      </c>
      <c r="I225" s="19" t="s">
        <v>296</v>
      </c>
      <c r="J225" s="1" t="s">
        <v>33</v>
      </c>
      <c r="K225" s="19">
        <v>1358</v>
      </c>
      <c r="L225" s="19">
        <v>16296</v>
      </c>
      <c r="M225" s="19">
        <v>5</v>
      </c>
      <c r="N225" s="19">
        <v>0</v>
      </c>
      <c r="O225" s="1">
        <v>0</v>
      </c>
      <c r="P225" s="19">
        <v>10</v>
      </c>
    </row>
    <row r="226" spans="1:16">
      <c r="A226" s="1">
        <v>225</v>
      </c>
      <c r="B226" s="1" t="s">
        <v>36</v>
      </c>
      <c r="C226" s="1" t="s">
        <v>383</v>
      </c>
      <c r="D226" s="1" t="str">
        <f>_xlfn.CONCAT(mmmm[[#This Row],[First Name]]," ",mmmm[[#This Row],[Last Name]])</f>
        <v>Muhamad Bulta</v>
      </c>
      <c r="E226" s="19" t="s">
        <v>18</v>
      </c>
      <c r="F226" s="11">
        <v>43694</v>
      </c>
      <c r="G226" s="19">
        <v>6</v>
      </c>
      <c r="H226" s="19" t="s">
        <v>44</v>
      </c>
      <c r="I226" s="19" t="s">
        <v>20</v>
      </c>
      <c r="J226" s="1" t="s">
        <v>62</v>
      </c>
      <c r="K226" s="19">
        <v>703</v>
      </c>
      <c r="L226" s="19">
        <v>8436</v>
      </c>
      <c r="M226" s="19">
        <v>4.5</v>
      </c>
      <c r="N226" s="19">
        <v>0</v>
      </c>
      <c r="O226" s="1">
        <v>0</v>
      </c>
      <c r="P226" s="19">
        <v>64</v>
      </c>
    </row>
    <row r="227" spans="1:16">
      <c r="A227" s="1">
        <v>226</v>
      </c>
      <c r="B227" s="1" t="s">
        <v>384</v>
      </c>
      <c r="C227" s="1" t="s">
        <v>385</v>
      </c>
      <c r="D227" s="1" t="str">
        <f>_xlfn.CONCAT(mmmm[[#This Row],[First Name]]," ",mmmm[[#This Row],[Last Name]])</f>
        <v>Fatin Hamshu</v>
      </c>
      <c r="E227" s="19" t="s">
        <v>27</v>
      </c>
      <c r="F227" s="11">
        <v>43443</v>
      </c>
      <c r="G227" s="19">
        <v>7</v>
      </c>
      <c r="H227" s="19" t="s">
        <v>38</v>
      </c>
      <c r="I227" s="19" t="s">
        <v>20</v>
      </c>
      <c r="J227" s="1" t="s">
        <v>33</v>
      </c>
      <c r="K227" s="19">
        <v>2017</v>
      </c>
      <c r="L227" s="19">
        <v>24204</v>
      </c>
      <c r="M227" s="19">
        <v>2</v>
      </c>
      <c r="N227" s="19">
        <v>0</v>
      </c>
      <c r="O227" s="1">
        <v>1</v>
      </c>
      <c r="P227" s="19">
        <v>8</v>
      </c>
    </row>
    <row r="228" spans="1:16">
      <c r="A228" s="1">
        <v>227</v>
      </c>
      <c r="B228" s="1" t="s">
        <v>265</v>
      </c>
      <c r="C228" s="1" t="s">
        <v>386</v>
      </c>
      <c r="D228" s="1" t="str">
        <f>_xlfn.CONCAT(mmmm[[#This Row],[First Name]]," ",mmmm[[#This Row],[Last Name]])</f>
        <v>Abd Alruhmin Alnasar</v>
      </c>
      <c r="E228" s="19" t="s">
        <v>18</v>
      </c>
      <c r="F228" s="11">
        <v>43687</v>
      </c>
      <c r="G228" s="19">
        <v>6</v>
      </c>
      <c r="H228" s="19" t="s">
        <v>38</v>
      </c>
      <c r="I228" s="19" t="s">
        <v>20</v>
      </c>
      <c r="J228" s="1" t="s">
        <v>33</v>
      </c>
      <c r="K228" s="19">
        <v>1806</v>
      </c>
      <c r="L228" s="19">
        <v>21672</v>
      </c>
      <c r="M228" s="19">
        <v>5</v>
      </c>
      <c r="N228" s="19">
        <v>0</v>
      </c>
      <c r="O228" s="1">
        <v>0</v>
      </c>
      <c r="P228" s="19">
        <v>7</v>
      </c>
    </row>
    <row r="229" spans="1:16">
      <c r="A229" s="1">
        <v>228</v>
      </c>
      <c r="B229" s="1" t="s">
        <v>384</v>
      </c>
      <c r="C229" s="1" t="s">
        <v>387</v>
      </c>
      <c r="D229" s="1" t="str">
        <f>_xlfn.CONCAT(mmmm[[#This Row],[First Name]]," ",mmmm[[#This Row],[Last Name]])</f>
        <v>Fatin Red</v>
      </c>
      <c r="E229" s="19" t="s">
        <v>27</v>
      </c>
      <c r="F229" s="11">
        <v>43663</v>
      </c>
      <c r="G229" s="19">
        <v>7</v>
      </c>
      <c r="H229" s="19" t="s">
        <v>120</v>
      </c>
      <c r="I229" s="19" t="s">
        <v>20</v>
      </c>
      <c r="J229" s="1" t="s">
        <v>39</v>
      </c>
      <c r="K229" s="19">
        <v>2421</v>
      </c>
      <c r="L229" s="19">
        <v>29052</v>
      </c>
      <c r="M229" s="19">
        <v>3</v>
      </c>
      <c r="N229" s="19">
        <v>6</v>
      </c>
      <c r="O229" s="1">
        <v>0</v>
      </c>
      <c r="P229" s="19">
        <v>16</v>
      </c>
    </row>
    <row r="230" spans="1:16">
      <c r="A230" s="1">
        <v>229</v>
      </c>
      <c r="B230" s="1" t="s">
        <v>188</v>
      </c>
      <c r="C230" s="1" t="s">
        <v>36</v>
      </c>
      <c r="D230" s="1" t="str">
        <f>_xlfn.CONCAT(mmmm[[#This Row],[First Name]]," ",mmmm[[#This Row],[Last Name]])</f>
        <v>Ali Muhamad</v>
      </c>
      <c r="E230" s="19" t="s">
        <v>18</v>
      </c>
      <c r="F230" s="11">
        <v>43256</v>
      </c>
      <c r="G230" s="19">
        <v>8</v>
      </c>
      <c r="H230" s="19" t="s">
        <v>60</v>
      </c>
      <c r="I230" s="19" t="s">
        <v>32</v>
      </c>
      <c r="J230" s="1" t="s">
        <v>39</v>
      </c>
      <c r="K230" s="19">
        <v>1461</v>
      </c>
      <c r="L230" s="19">
        <v>17532</v>
      </c>
      <c r="M230" s="19">
        <v>5</v>
      </c>
      <c r="N230" s="19">
        <v>1</v>
      </c>
      <c r="O230" s="1">
        <v>0</v>
      </c>
      <c r="P230" s="19">
        <v>7</v>
      </c>
    </row>
    <row r="231" spans="1:16">
      <c r="A231" s="1">
        <v>230</v>
      </c>
      <c r="B231" s="1" t="s">
        <v>101</v>
      </c>
      <c r="C231" s="1" t="s">
        <v>388</v>
      </c>
      <c r="D231" s="1" t="str">
        <f>_xlfn.CONCAT(mmmm[[#This Row],[First Name]]," ",mmmm[[#This Row],[Last Name]])</f>
        <v>Rima Dwalyby</v>
      </c>
      <c r="E231" s="19" t="s">
        <v>27</v>
      </c>
      <c r="F231" s="11">
        <v>44106</v>
      </c>
      <c r="G231" s="19">
        <v>5</v>
      </c>
      <c r="H231" s="19" t="s">
        <v>31</v>
      </c>
      <c r="I231" s="19" t="s">
        <v>20</v>
      </c>
      <c r="J231" s="1" t="s">
        <v>62</v>
      </c>
      <c r="K231" s="19">
        <v>1287</v>
      </c>
      <c r="L231" s="19">
        <v>15444</v>
      </c>
      <c r="M231" s="19">
        <v>1</v>
      </c>
      <c r="N231" s="19">
        <v>0</v>
      </c>
      <c r="O231" s="1">
        <v>0</v>
      </c>
      <c r="P231" s="19">
        <v>7</v>
      </c>
    </row>
    <row r="232" spans="1:16">
      <c r="A232" s="1">
        <v>231</v>
      </c>
      <c r="B232" s="1" t="s">
        <v>389</v>
      </c>
      <c r="C232" s="1" t="s">
        <v>390</v>
      </c>
      <c r="D232" s="1" t="str">
        <f>_xlfn.CONCAT(mmmm[[#This Row],[First Name]]," ",mmmm[[#This Row],[Last Name]])</f>
        <v>Basil Musaa</v>
      </c>
      <c r="E232" s="19" t="s">
        <v>18</v>
      </c>
      <c r="F232" s="11">
        <v>43244</v>
      </c>
      <c r="G232" s="19">
        <v>8</v>
      </c>
      <c r="H232" s="19" t="s">
        <v>31</v>
      </c>
      <c r="I232" s="19" t="s">
        <v>20</v>
      </c>
      <c r="J232" s="1" t="s">
        <v>33</v>
      </c>
      <c r="K232" s="19">
        <v>2756</v>
      </c>
      <c r="L232" s="19">
        <v>33072</v>
      </c>
      <c r="M232" s="19">
        <v>3</v>
      </c>
      <c r="N232" s="19">
        <v>2</v>
      </c>
      <c r="O232" s="1">
        <v>0</v>
      </c>
      <c r="P232" s="19">
        <v>4</v>
      </c>
    </row>
    <row r="233" spans="1:16">
      <c r="A233" s="1">
        <v>232</v>
      </c>
      <c r="B233" s="1" t="s">
        <v>391</v>
      </c>
      <c r="C233" s="1" t="s">
        <v>392</v>
      </c>
      <c r="D233" s="1" t="str">
        <f>_xlfn.CONCAT(mmmm[[#This Row],[First Name]]," ",mmmm[[#This Row],[Last Name]])</f>
        <v>Antuan Litansdurfr</v>
      </c>
      <c r="E233" s="19" t="s">
        <v>18</v>
      </c>
      <c r="F233" s="11">
        <v>43474</v>
      </c>
      <c r="G233" s="19">
        <v>7</v>
      </c>
      <c r="H233" s="19" t="s">
        <v>19</v>
      </c>
      <c r="I233" s="19" t="s">
        <v>20</v>
      </c>
      <c r="J233" s="1" t="s">
        <v>33</v>
      </c>
      <c r="K233" s="19">
        <v>2332</v>
      </c>
      <c r="L233" s="19">
        <v>27984</v>
      </c>
      <c r="M233" s="19">
        <v>5</v>
      </c>
      <c r="N233" s="19">
        <v>0</v>
      </c>
      <c r="O233" s="1">
        <v>0</v>
      </c>
      <c r="P233" s="19">
        <v>2</v>
      </c>
    </row>
    <row r="234" spans="1:16">
      <c r="A234" s="1">
        <v>233</v>
      </c>
      <c r="B234" s="1" t="s">
        <v>393</v>
      </c>
      <c r="C234" s="1" t="s">
        <v>394</v>
      </c>
      <c r="D234" s="1" t="str">
        <f>_xlfn.CONCAT(mmmm[[#This Row],[First Name]]," ",mmmm[[#This Row],[Last Name]])</f>
        <v>Rashad Iidris</v>
      </c>
      <c r="E234" s="19" t="s">
        <v>18</v>
      </c>
      <c r="F234" s="11">
        <v>43795</v>
      </c>
      <c r="G234" s="19">
        <v>6</v>
      </c>
      <c r="H234" s="19" t="s">
        <v>78</v>
      </c>
      <c r="I234" s="19" t="s">
        <v>20</v>
      </c>
      <c r="J234" s="1" t="s">
        <v>33</v>
      </c>
      <c r="K234" s="19">
        <v>812</v>
      </c>
      <c r="L234" s="19">
        <v>9744</v>
      </c>
      <c r="M234" s="19">
        <v>3</v>
      </c>
      <c r="N234" s="19">
        <v>0</v>
      </c>
      <c r="O234" s="1">
        <v>0</v>
      </c>
      <c r="P234" s="19">
        <v>10</v>
      </c>
    </row>
    <row r="235" spans="1:16">
      <c r="A235" s="1">
        <v>234</v>
      </c>
      <c r="B235" s="1" t="s">
        <v>395</v>
      </c>
      <c r="C235" s="1" t="s">
        <v>396</v>
      </c>
      <c r="D235" s="1" t="str">
        <f>_xlfn.CONCAT(mmmm[[#This Row],[First Name]]," ",mmmm[[#This Row],[Last Name]])</f>
        <v>Bidralidin Ahmdghrybw</v>
      </c>
      <c r="E235" s="19" t="s">
        <v>18</v>
      </c>
      <c r="F235" s="11">
        <v>44103</v>
      </c>
      <c r="G235" s="19">
        <v>5</v>
      </c>
      <c r="H235" s="19" t="s">
        <v>31</v>
      </c>
      <c r="I235" s="19" t="s">
        <v>20</v>
      </c>
      <c r="J235" s="1" t="s">
        <v>39</v>
      </c>
      <c r="K235" s="19">
        <v>2651</v>
      </c>
      <c r="L235" s="19">
        <v>31812</v>
      </c>
      <c r="M235" s="19">
        <v>1</v>
      </c>
      <c r="N235" s="19">
        <v>0</v>
      </c>
      <c r="O235" s="1">
        <v>0</v>
      </c>
      <c r="P235" s="19">
        <v>12</v>
      </c>
    </row>
    <row r="236" spans="1:16">
      <c r="A236" s="1">
        <v>235</v>
      </c>
      <c r="B236" s="1" t="s">
        <v>129</v>
      </c>
      <c r="C236" s="1" t="s">
        <v>397</v>
      </c>
      <c r="D236" s="1" t="str">
        <f>_xlfn.CONCAT(mmmm[[#This Row],[First Name]]," ",mmmm[[#This Row],[Last Name]])</f>
        <v>Faras Shaykh</v>
      </c>
      <c r="E236" s="19" t="s">
        <v>18</v>
      </c>
      <c r="F236" s="11">
        <v>43547</v>
      </c>
      <c r="G236" s="19">
        <v>7</v>
      </c>
      <c r="H236" s="19" t="s">
        <v>42</v>
      </c>
      <c r="I236" s="19" t="s">
        <v>32</v>
      </c>
      <c r="J236" s="1" t="s">
        <v>21</v>
      </c>
      <c r="K236" s="19">
        <v>2331</v>
      </c>
      <c r="L236" s="19">
        <v>27972</v>
      </c>
      <c r="M236" s="19">
        <v>4.5</v>
      </c>
      <c r="N236" s="19">
        <v>0</v>
      </c>
      <c r="O236" s="1">
        <v>0</v>
      </c>
      <c r="P236" s="19">
        <v>9</v>
      </c>
    </row>
    <row r="237" spans="1:16">
      <c r="A237" s="1">
        <v>236</v>
      </c>
      <c r="B237" s="1" t="s">
        <v>36</v>
      </c>
      <c r="C237" s="1" t="s">
        <v>398</v>
      </c>
      <c r="D237" s="1" t="str">
        <f>_xlfn.CONCAT(mmmm[[#This Row],[First Name]]," ",mmmm[[#This Row],[Last Name]])</f>
        <v>Muhamad Eala Aldiyn</v>
      </c>
      <c r="E237" s="19" t="s">
        <v>18</v>
      </c>
      <c r="F237" s="11">
        <v>43826</v>
      </c>
      <c r="G237" s="19">
        <v>6</v>
      </c>
      <c r="H237" s="19" t="s">
        <v>42</v>
      </c>
      <c r="I237" s="19" t="s">
        <v>24</v>
      </c>
      <c r="J237" s="1" t="s">
        <v>39</v>
      </c>
      <c r="K237" s="19">
        <v>2162</v>
      </c>
      <c r="L237" s="19">
        <v>25944</v>
      </c>
      <c r="M237" s="19">
        <v>5</v>
      </c>
      <c r="N237" s="19">
        <v>0</v>
      </c>
      <c r="O237" s="1">
        <v>0</v>
      </c>
      <c r="P237" s="19">
        <v>13</v>
      </c>
    </row>
    <row r="238" spans="1:16">
      <c r="A238" s="1">
        <v>237</v>
      </c>
      <c r="B238" s="1" t="s">
        <v>399</v>
      </c>
      <c r="C238" s="1" t="s">
        <v>400</v>
      </c>
      <c r="D238" s="1" t="str">
        <f>_xlfn.CONCAT(mmmm[[#This Row],[First Name]]," ",mmmm[[#This Row],[Last Name]])</f>
        <v>Khaldun Suqbani</v>
      </c>
      <c r="E238" s="19" t="s">
        <v>18</v>
      </c>
      <c r="F238" s="11">
        <v>43991</v>
      </c>
      <c r="G238" s="19">
        <v>6</v>
      </c>
      <c r="H238" s="19" t="s">
        <v>31</v>
      </c>
      <c r="I238" s="19" t="s">
        <v>20</v>
      </c>
      <c r="J238" s="1" t="s">
        <v>39</v>
      </c>
      <c r="K238" s="19">
        <v>1952</v>
      </c>
      <c r="L238" s="19">
        <v>23424</v>
      </c>
      <c r="M238" s="19">
        <v>3</v>
      </c>
      <c r="N238" s="19">
        <v>1</v>
      </c>
      <c r="O238" s="1">
        <v>1</v>
      </c>
      <c r="P238" s="19">
        <v>34</v>
      </c>
    </row>
    <row r="239" spans="1:16">
      <c r="A239" s="1">
        <v>238</v>
      </c>
      <c r="B239" s="1" t="s">
        <v>81</v>
      </c>
      <c r="C239" s="1" t="s">
        <v>401</v>
      </c>
      <c r="D239" s="1" t="str">
        <f>_xlfn.CONCAT(mmmm[[#This Row],[First Name]]," ",mmmm[[#This Row],[Last Name]])</f>
        <v>Lwna Albahra</v>
      </c>
      <c r="E239" s="19" t="s">
        <v>27</v>
      </c>
      <c r="F239" s="11">
        <v>43931</v>
      </c>
      <c r="G239" s="19">
        <v>6</v>
      </c>
      <c r="H239" s="19" t="s">
        <v>38</v>
      </c>
      <c r="I239" s="19" t="s">
        <v>20</v>
      </c>
      <c r="J239" s="1" t="s">
        <v>39</v>
      </c>
      <c r="K239" s="19">
        <v>2976</v>
      </c>
      <c r="L239" s="19">
        <v>35712</v>
      </c>
      <c r="M239" s="19">
        <v>4.5</v>
      </c>
      <c r="N239" s="19">
        <v>0</v>
      </c>
      <c r="O239" s="1">
        <v>2</v>
      </c>
      <c r="P239" s="19">
        <v>6</v>
      </c>
    </row>
    <row r="240" spans="1:16">
      <c r="A240" s="1">
        <v>239</v>
      </c>
      <c r="B240" s="1" t="s">
        <v>34</v>
      </c>
      <c r="C240" s="1" t="s">
        <v>402</v>
      </c>
      <c r="D240" s="1" t="str">
        <f>_xlfn.CONCAT(mmmm[[#This Row],[First Name]]," ",mmmm[[#This Row],[Last Name]])</f>
        <v>Ahmad Ezqul</v>
      </c>
      <c r="E240" s="19" t="s">
        <v>18</v>
      </c>
      <c r="F240" s="11">
        <v>43272</v>
      </c>
      <c r="G240" s="19">
        <v>8</v>
      </c>
      <c r="H240" s="19" t="s">
        <v>31</v>
      </c>
      <c r="I240" s="19" t="s">
        <v>24</v>
      </c>
      <c r="J240" s="1" t="s">
        <v>33</v>
      </c>
      <c r="K240" s="19">
        <v>2080</v>
      </c>
      <c r="L240" s="19">
        <v>24960</v>
      </c>
      <c r="M240" s="19">
        <v>5</v>
      </c>
      <c r="N240" s="19">
        <v>0</v>
      </c>
      <c r="O240" s="1">
        <v>5</v>
      </c>
      <c r="P240" s="19">
        <v>13</v>
      </c>
    </row>
    <row r="241" spans="1:16">
      <c r="A241" s="1">
        <v>240</v>
      </c>
      <c r="B241" s="1" t="s">
        <v>342</v>
      </c>
      <c r="C241" s="1" t="s">
        <v>403</v>
      </c>
      <c r="D241" s="1" t="str">
        <f>_xlfn.CONCAT(mmmm[[#This Row],[First Name]]," ",mmmm[[#This Row],[Last Name]])</f>
        <v>Salih Alhamuwd</v>
      </c>
      <c r="E241" s="19" t="s">
        <v>18</v>
      </c>
      <c r="F241" s="11">
        <v>43431</v>
      </c>
      <c r="G241" s="19">
        <v>7</v>
      </c>
      <c r="H241" s="19" t="s">
        <v>60</v>
      </c>
      <c r="I241" s="19" t="s">
        <v>20</v>
      </c>
      <c r="J241" s="1" t="s">
        <v>33</v>
      </c>
      <c r="K241" s="19">
        <v>1668</v>
      </c>
      <c r="L241" s="19">
        <v>20016</v>
      </c>
      <c r="M241" s="19">
        <v>4.5</v>
      </c>
      <c r="N241" s="19">
        <v>0</v>
      </c>
      <c r="O241" s="1">
        <v>3</v>
      </c>
      <c r="P241" s="19">
        <v>3</v>
      </c>
    </row>
    <row r="242" spans="1:16">
      <c r="A242" s="1">
        <v>241</v>
      </c>
      <c r="B242" s="1" t="s">
        <v>36</v>
      </c>
      <c r="C242" s="1" t="s">
        <v>404</v>
      </c>
      <c r="D242" s="1" t="str">
        <f>_xlfn.CONCAT(mmmm[[#This Row],[First Name]]," ",mmmm[[#This Row],[Last Name]])</f>
        <v>Muhamad Abu Zamil</v>
      </c>
      <c r="E242" s="19" t="s">
        <v>18</v>
      </c>
      <c r="F242" s="11">
        <v>42556</v>
      </c>
      <c r="G242" s="19">
        <v>10</v>
      </c>
      <c r="H242" s="19" t="s">
        <v>60</v>
      </c>
      <c r="I242" s="19" t="s">
        <v>20</v>
      </c>
      <c r="J242" s="1" t="s">
        <v>33</v>
      </c>
      <c r="K242" s="19">
        <v>2234</v>
      </c>
      <c r="L242" s="19">
        <v>26808</v>
      </c>
      <c r="M242" s="19">
        <v>5</v>
      </c>
      <c r="N242" s="19">
        <v>3</v>
      </c>
      <c r="O242" s="1">
        <v>0</v>
      </c>
      <c r="P242" s="19">
        <v>7</v>
      </c>
    </row>
    <row r="243" spans="1:16">
      <c r="A243" s="1">
        <v>242</v>
      </c>
      <c r="B243" s="1" t="s">
        <v>405</v>
      </c>
      <c r="C243" s="1" t="s">
        <v>406</v>
      </c>
      <c r="D243" s="1" t="str">
        <f>_xlfn.CONCAT(mmmm[[#This Row],[First Name]]," ",mmmm[[#This Row],[Last Name]])</f>
        <v>Fuad Alsyqly</v>
      </c>
      <c r="E243" s="19" t="s">
        <v>18</v>
      </c>
      <c r="F243" s="11">
        <v>43765</v>
      </c>
      <c r="G243" s="19">
        <v>6</v>
      </c>
      <c r="H243" s="19" t="s">
        <v>44</v>
      </c>
      <c r="I243" s="19" t="s">
        <v>50</v>
      </c>
      <c r="J243" s="1" t="s">
        <v>62</v>
      </c>
      <c r="K243" s="19">
        <v>2096</v>
      </c>
      <c r="L243" s="19">
        <v>25152</v>
      </c>
      <c r="M243" s="19">
        <v>3</v>
      </c>
      <c r="N243" s="19">
        <v>5</v>
      </c>
      <c r="O243" s="1">
        <v>2</v>
      </c>
      <c r="P243" s="19">
        <v>0</v>
      </c>
    </row>
    <row r="244" spans="1:16">
      <c r="A244" s="1">
        <v>243</v>
      </c>
      <c r="B244" s="1" t="s">
        <v>36</v>
      </c>
      <c r="C244" s="1" t="s">
        <v>407</v>
      </c>
      <c r="D244" s="1" t="str">
        <f>_xlfn.CONCAT(mmmm[[#This Row],[First Name]]," ",mmmm[[#This Row],[Last Name]])</f>
        <v>Muhamad Aldamshqi</v>
      </c>
      <c r="E244" s="19" t="s">
        <v>18</v>
      </c>
      <c r="F244" s="11">
        <v>43612</v>
      </c>
      <c r="G244" s="19">
        <v>7</v>
      </c>
      <c r="H244" s="19" t="s">
        <v>31</v>
      </c>
      <c r="I244" s="19" t="s">
        <v>24</v>
      </c>
      <c r="J244" s="1" t="s">
        <v>33</v>
      </c>
      <c r="K244" s="19">
        <v>2129</v>
      </c>
      <c r="L244" s="19">
        <v>25548</v>
      </c>
      <c r="M244" s="19">
        <v>3</v>
      </c>
      <c r="N244" s="19">
        <v>1</v>
      </c>
      <c r="O244" s="1">
        <v>1</v>
      </c>
      <c r="P244" s="19">
        <v>3</v>
      </c>
    </row>
    <row r="245" spans="1:16">
      <c r="A245" s="1">
        <v>244</v>
      </c>
      <c r="B245" s="1" t="s">
        <v>408</v>
      </c>
      <c r="C245" s="1" t="s">
        <v>409</v>
      </c>
      <c r="D245" s="1" t="str">
        <f>_xlfn.CONCAT(mmmm[[#This Row],[First Name]]," ",mmmm[[#This Row],[Last Name]])</f>
        <v>Sayf Aldiyn Alkmshh</v>
      </c>
      <c r="E245" s="19" t="s">
        <v>18</v>
      </c>
      <c r="F245" s="11">
        <v>43508</v>
      </c>
      <c r="G245" s="19">
        <v>7</v>
      </c>
      <c r="H245" s="19" t="s">
        <v>31</v>
      </c>
      <c r="I245" s="19" t="s">
        <v>24</v>
      </c>
      <c r="J245" s="1" t="s">
        <v>33</v>
      </c>
      <c r="K245" s="19">
        <v>1429</v>
      </c>
      <c r="L245" s="19">
        <v>17148</v>
      </c>
      <c r="M245" s="19">
        <v>3</v>
      </c>
      <c r="N245" s="19">
        <v>0</v>
      </c>
      <c r="O245" s="1">
        <v>5</v>
      </c>
      <c r="P245" s="19">
        <v>8</v>
      </c>
    </row>
    <row r="246" spans="1:16">
      <c r="A246" s="1">
        <v>245</v>
      </c>
      <c r="B246" s="1" t="s">
        <v>36</v>
      </c>
      <c r="C246" s="1" t="s">
        <v>410</v>
      </c>
      <c r="D246" s="1" t="str">
        <f>_xlfn.CONCAT(mmmm[[#This Row],[First Name]]," ",mmmm[[#This Row],[Last Name]])</f>
        <v>Muhamad Alssati</v>
      </c>
      <c r="E246" s="19" t="s">
        <v>18</v>
      </c>
      <c r="F246" s="11">
        <v>44126</v>
      </c>
      <c r="G246" s="19">
        <v>5</v>
      </c>
      <c r="H246" s="19" t="s">
        <v>31</v>
      </c>
      <c r="I246" s="19" t="s">
        <v>32</v>
      </c>
      <c r="J246" s="1" t="s">
        <v>39</v>
      </c>
      <c r="K246" s="19">
        <v>1479</v>
      </c>
      <c r="L246" s="19">
        <v>17748</v>
      </c>
      <c r="M246" s="19">
        <v>3</v>
      </c>
      <c r="N246" s="19">
        <v>5</v>
      </c>
      <c r="O246" s="1">
        <v>4</v>
      </c>
      <c r="P246" s="19">
        <v>8</v>
      </c>
    </row>
    <row r="247" spans="1:16">
      <c r="A247" s="1">
        <v>246</v>
      </c>
      <c r="B247" s="1" t="s">
        <v>167</v>
      </c>
      <c r="C247" s="1" t="s">
        <v>411</v>
      </c>
      <c r="D247" s="1" t="str">
        <f>_xlfn.CONCAT(mmmm[[#This Row],[First Name]]," ",mmmm[[#This Row],[Last Name]])</f>
        <v>Khalid Alem</v>
      </c>
      <c r="E247" s="19" t="s">
        <v>18</v>
      </c>
      <c r="F247" s="11">
        <v>44181</v>
      </c>
      <c r="G247" s="19">
        <v>5</v>
      </c>
      <c r="H247" s="19" t="s">
        <v>19</v>
      </c>
      <c r="I247" s="19" t="s">
        <v>32</v>
      </c>
      <c r="J247" s="1" t="s">
        <v>39</v>
      </c>
      <c r="K247" s="19">
        <v>2884</v>
      </c>
      <c r="L247" s="19">
        <v>34608</v>
      </c>
      <c r="M247" s="19">
        <v>5</v>
      </c>
      <c r="N247" s="19">
        <v>1</v>
      </c>
      <c r="O247" s="1">
        <v>6</v>
      </c>
      <c r="P247" s="19">
        <v>3</v>
      </c>
    </row>
    <row r="248" spans="1:16">
      <c r="A248" s="1">
        <v>247</v>
      </c>
      <c r="B248" s="1" t="s">
        <v>69</v>
      </c>
      <c r="C248" s="1" t="s">
        <v>412</v>
      </c>
      <c r="D248" s="1" t="str">
        <f>_xlfn.CONCAT(mmmm[[#This Row],[First Name]]," ",mmmm[[#This Row],[Last Name]])</f>
        <v>Ayham Aleisaa</v>
      </c>
      <c r="E248" s="19" t="s">
        <v>18</v>
      </c>
      <c r="F248" s="11">
        <v>44167</v>
      </c>
      <c r="G248" s="19">
        <v>5</v>
      </c>
      <c r="H248" s="19" t="s">
        <v>78</v>
      </c>
      <c r="I248" s="19" t="s">
        <v>50</v>
      </c>
      <c r="J248" s="1" t="s">
        <v>33</v>
      </c>
      <c r="K248" s="19">
        <v>2947</v>
      </c>
      <c r="L248" s="19">
        <v>35364</v>
      </c>
      <c r="M248" s="19">
        <v>3</v>
      </c>
      <c r="N248" s="19">
        <v>5</v>
      </c>
      <c r="O248" s="1">
        <v>0</v>
      </c>
      <c r="P248" s="19">
        <v>1</v>
      </c>
    </row>
    <row r="249" spans="1:16">
      <c r="A249" s="1">
        <v>248</v>
      </c>
      <c r="B249" s="1" t="s">
        <v>265</v>
      </c>
      <c r="C249" s="1" t="s">
        <v>413</v>
      </c>
      <c r="D249" s="1" t="str">
        <f>_xlfn.CONCAT(mmmm[[#This Row],[First Name]]," ",mmmm[[#This Row],[Last Name]])</f>
        <v>Abd Alruhmin Dulul</v>
      </c>
      <c r="E249" s="19" t="s">
        <v>18</v>
      </c>
      <c r="F249" s="11">
        <v>43275</v>
      </c>
      <c r="G249" s="19">
        <v>8</v>
      </c>
      <c r="H249" s="19" t="s">
        <v>19</v>
      </c>
      <c r="I249" s="19" t="s">
        <v>20</v>
      </c>
      <c r="J249" s="1" t="s">
        <v>39</v>
      </c>
      <c r="K249" s="19">
        <v>1795</v>
      </c>
      <c r="L249" s="19">
        <v>21540</v>
      </c>
      <c r="M249" s="19">
        <v>1</v>
      </c>
      <c r="N249" s="19">
        <v>0</v>
      </c>
      <c r="O249" s="1">
        <v>0</v>
      </c>
      <c r="P249" s="19">
        <v>4</v>
      </c>
    </row>
    <row r="250" spans="1:16">
      <c r="A250" s="1">
        <v>249</v>
      </c>
      <c r="B250" s="1" t="s">
        <v>414</v>
      </c>
      <c r="C250" s="1" t="s">
        <v>200</v>
      </c>
      <c r="D250" s="1" t="str">
        <f>_xlfn.CONCAT(mmmm[[#This Row],[First Name]]," ",mmmm[[#This Row],[Last Name]])</f>
        <v>Ruba Aleid</v>
      </c>
      <c r="E250" s="19" t="s">
        <v>27</v>
      </c>
      <c r="F250" s="11">
        <v>43137</v>
      </c>
      <c r="G250" s="19">
        <v>8</v>
      </c>
      <c r="H250" s="19" t="s">
        <v>44</v>
      </c>
      <c r="I250" s="19" t="s">
        <v>20</v>
      </c>
      <c r="J250" s="1" t="s">
        <v>21</v>
      </c>
      <c r="K250" s="19">
        <v>1982</v>
      </c>
      <c r="L250" s="19">
        <v>23784</v>
      </c>
      <c r="M250" s="19">
        <v>5</v>
      </c>
      <c r="N250" s="19">
        <v>1</v>
      </c>
      <c r="O250" s="1">
        <v>0</v>
      </c>
      <c r="P250" s="19">
        <v>7</v>
      </c>
    </row>
    <row r="251" spans="1:16">
      <c r="A251" s="1">
        <v>250</v>
      </c>
      <c r="B251" s="1" t="s">
        <v>36</v>
      </c>
      <c r="C251" s="1" t="s">
        <v>415</v>
      </c>
      <c r="D251" s="1" t="str">
        <f>_xlfn.CONCAT(mmmm[[#This Row],[First Name]]," ",mmmm[[#This Row],[Last Name]])</f>
        <v>Muhamad Badawiin</v>
      </c>
      <c r="E251" s="19" t="s">
        <v>18</v>
      </c>
      <c r="F251" s="11">
        <v>44162</v>
      </c>
      <c r="G251" s="19">
        <v>5</v>
      </c>
      <c r="H251" s="19" t="s">
        <v>44</v>
      </c>
      <c r="I251" s="19" t="s">
        <v>20</v>
      </c>
      <c r="J251" s="1" t="s">
        <v>62</v>
      </c>
      <c r="K251" s="19">
        <v>2543</v>
      </c>
      <c r="L251" s="19">
        <v>30516</v>
      </c>
      <c r="M251" s="19">
        <v>5</v>
      </c>
      <c r="N251" s="19">
        <v>0</v>
      </c>
      <c r="O251" s="1">
        <v>0</v>
      </c>
      <c r="P251" s="19">
        <v>86</v>
      </c>
    </row>
    <row r="252" spans="1:16">
      <c r="A252" s="1">
        <v>251</v>
      </c>
      <c r="B252" s="1" t="s">
        <v>416</v>
      </c>
      <c r="C252" s="1" t="s">
        <v>417</v>
      </c>
      <c r="D252" s="1" t="str">
        <f>_xlfn.CONCAT(mmmm[[#This Row],[First Name]]," ",mmmm[[#This Row],[Last Name]])</f>
        <v>Sharihan Rihan</v>
      </c>
      <c r="E252" s="19" t="s">
        <v>27</v>
      </c>
      <c r="F252" s="11">
        <v>43869</v>
      </c>
      <c r="G252" s="19">
        <v>6</v>
      </c>
      <c r="H252" s="19" t="s">
        <v>31</v>
      </c>
      <c r="I252" s="19" t="s">
        <v>20</v>
      </c>
      <c r="J252" s="1" t="s">
        <v>33</v>
      </c>
      <c r="K252" s="19">
        <v>2787</v>
      </c>
      <c r="L252" s="19">
        <v>33444</v>
      </c>
      <c r="M252" s="19">
        <v>3</v>
      </c>
      <c r="N252" s="19">
        <v>3</v>
      </c>
      <c r="O252" s="1">
        <v>0</v>
      </c>
      <c r="P252" s="19">
        <v>12</v>
      </c>
    </row>
    <row r="253" spans="1:16">
      <c r="A253" s="1">
        <v>252</v>
      </c>
      <c r="B253" s="1" t="s">
        <v>148</v>
      </c>
      <c r="C253" s="1" t="s">
        <v>418</v>
      </c>
      <c r="D253" s="1" t="str">
        <f>_xlfn.CONCAT(mmmm[[#This Row],[First Name]]," ",mmmm[[#This Row],[Last Name]])</f>
        <v>Ibrahim Alyasin</v>
      </c>
      <c r="E253" s="19" t="s">
        <v>18</v>
      </c>
      <c r="F253" s="11">
        <v>43865</v>
      </c>
      <c r="G253" s="19">
        <v>6</v>
      </c>
      <c r="H253" s="19" t="s">
        <v>79</v>
      </c>
      <c r="I253" s="19" t="s">
        <v>20</v>
      </c>
      <c r="J253" s="1" t="s">
        <v>39</v>
      </c>
      <c r="K253" s="19">
        <v>1095</v>
      </c>
      <c r="L253" s="19">
        <v>13140</v>
      </c>
      <c r="M253" s="19">
        <v>5</v>
      </c>
      <c r="N253" s="19">
        <v>6</v>
      </c>
      <c r="O253" s="1">
        <v>0</v>
      </c>
      <c r="P253" s="19">
        <v>5</v>
      </c>
    </row>
    <row r="254" spans="1:16">
      <c r="A254" s="1">
        <v>253</v>
      </c>
      <c r="B254" s="1" t="s">
        <v>40</v>
      </c>
      <c r="C254" s="1" t="s">
        <v>419</v>
      </c>
      <c r="D254" s="1" t="str">
        <f>_xlfn.CONCAT(mmmm[[#This Row],[First Name]]," ",mmmm[[#This Row],[Last Name]])</f>
        <v>Iin Mulaliyun</v>
      </c>
      <c r="E254" s="19" t="s">
        <v>27</v>
      </c>
      <c r="F254" s="11">
        <v>43936</v>
      </c>
      <c r="G254" s="19">
        <v>6</v>
      </c>
      <c r="H254" s="19" t="s">
        <v>31</v>
      </c>
      <c r="I254" s="19" t="s">
        <v>24</v>
      </c>
      <c r="J254" s="1" t="s">
        <v>33</v>
      </c>
      <c r="K254" s="19">
        <v>2009</v>
      </c>
      <c r="L254" s="19">
        <v>24108</v>
      </c>
      <c r="M254" s="19">
        <v>5</v>
      </c>
      <c r="N254" s="19">
        <v>0</v>
      </c>
      <c r="O254" s="1">
        <v>0</v>
      </c>
      <c r="P254" s="19">
        <v>0</v>
      </c>
    </row>
    <row r="255" spans="1:16">
      <c r="A255" s="1">
        <v>254</v>
      </c>
      <c r="B255" s="1" t="s">
        <v>420</v>
      </c>
      <c r="C255" s="1" t="s">
        <v>421</v>
      </c>
      <c r="D255" s="1" t="str">
        <f>_xlfn.CONCAT(mmmm[[#This Row],[First Name]]," ",mmmm[[#This Row],[Last Name]])</f>
        <v>Danah Almahdi</v>
      </c>
      <c r="E255" s="19" t="s">
        <v>27</v>
      </c>
      <c r="F255" s="11">
        <v>42557</v>
      </c>
      <c r="G255" s="19">
        <v>10</v>
      </c>
      <c r="H255" s="19" t="s">
        <v>95</v>
      </c>
      <c r="I255" s="19" t="s">
        <v>20</v>
      </c>
      <c r="J255" s="1" t="s">
        <v>39</v>
      </c>
      <c r="K255" s="19">
        <v>1837</v>
      </c>
      <c r="L255" s="19">
        <v>22044</v>
      </c>
      <c r="M255" s="19">
        <v>3</v>
      </c>
      <c r="N255" s="19">
        <v>1</v>
      </c>
      <c r="O255" s="1">
        <v>0</v>
      </c>
      <c r="P255" s="19">
        <v>2</v>
      </c>
    </row>
    <row r="256" spans="1:16">
      <c r="A256" s="1">
        <v>255</v>
      </c>
      <c r="B256" s="1" t="s">
        <v>36</v>
      </c>
      <c r="C256" s="1" t="s">
        <v>422</v>
      </c>
      <c r="D256" s="1" t="str">
        <f>_xlfn.CONCAT(mmmm[[#This Row],[First Name]]," ",mmmm[[#This Row],[Last Name]])</f>
        <v>Muhamad Sakar</v>
      </c>
      <c r="E256" s="19" t="s">
        <v>18</v>
      </c>
      <c r="F256" s="11">
        <v>43729</v>
      </c>
      <c r="G256" s="19">
        <v>6</v>
      </c>
      <c r="H256" s="19" t="s">
        <v>78</v>
      </c>
      <c r="I256" s="19" t="s">
        <v>24</v>
      </c>
      <c r="J256" s="1" t="s">
        <v>33</v>
      </c>
      <c r="K256" s="19">
        <v>3109</v>
      </c>
      <c r="L256" s="19">
        <v>37308</v>
      </c>
      <c r="M256" s="19">
        <v>3</v>
      </c>
      <c r="N256" s="19">
        <v>1</v>
      </c>
      <c r="O256" s="1">
        <v>0</v>
      </c>
      <c r="P256" s="19">
        <v>9</v>
      </c>
    </row>
    <row r="257" spans="1:16">
      <c r="A257" s="1">
        <v>256</v>
      </c>
      <c r="B257" s="1" t="s">
        <v>376</v>
      </c>
      <c r="C257" s="1" t="s">
        <v>303</v>
      </c>
      <c r="D257" s="1" t="str">
        <f>_xlfn.CONCAT(mmmm[[#This Row],[First Name]]," ",mmmm[[#This Row],[Last Name]])</f>
        <v>Lama Yasin</v>
      </c>
      <c r="E257" s="19" t="s">
        <v>27</v>
      </c>
      <c r="F257" s="11">
        <v>43982</v>
      </c>
      <c r="G257" s="19">
        <v>6</v>
      </c>
      <c r="H257" s="19" t="s">
        <v>31</v>
      </c>
      <c r="I257" s="19" t="s">
        <v>20</v>
      </c>
      <c r="J257" s="1" t="s">
        <v>33</v>
      </c>
      <c r="K257" s="19">
        <v>2832</v>
      </c>
      <c r="L257" s="19">
        <v>33984</v>
      </c>
      <c r="M257" s="19">
        <v>5</v>
      </c>
      <c r="N257" s="19">
        <v>1</v>
      </c>
      <c r="O257" s="1">
        <v>0</v>
      </c>
      <c r="P257" s="19">
        <v>5</v>
      </c>
    </row>
    <row r="258" spans="1:16">
      <c r="A258" s="1">
        <v>257</v>
      </c>
      <c r="B258" s="1" t="s">
        <v>423</v>
      </c>
      <c r="C258" s="1" t="s">
        <v>424</v>
      </c>
      <c r="D258" s="1" t="str">
        <f>_xlfn.CONCAT(mmmm[[#This Row],[First Name]]," ",mmmm[[#This Row],[Last Name]])</f>
        <v>Asf Abultif</v>
      </c>
      <c r="E258" s="19" t="s">
        <v>18</v>
      </c>
      <c r="F258" s="11">
        <v>43466</v>
      </c>
      <c r="G258" s="19">
        <v>7</v>
      </c>
      <c r="H258" s="19" t="s">
        <v>31</v>
      </c>
      <c r="I258" s="19" t="s">
        <v>20</v>
      </c>
      <c r="J258" s="1" t="s">
        <v>33</v>
      </c>
      <c r="K258" s="19">
        <v>2940</v>
      </c>
      <c r="L258" s="19">
        <v>35280</v>
      </c>
      <c r="M258" s="19">
        <v>1</v>
      </c>
      <c r="N258" s="19">
        <v>6</v>
      </c>
      <c r="O258" s="1">
        <v>4</v>
      </c>
      <c r="P258" s="19">
        <v>7</v>
      </c>
    </row>
    <row r="259" spans="1:16">
      <c r="A259" s="1">
        <v>258</v>
      </c>
      <c r="B259" s="1" t="s">
        <v>34</v>
      </c>
      <c r="C259" s="1" t="s">
        <v>425</v>
      </c>
      <c r="D259" s="1" t="str">
        <f>_xlfn.CONCAT(mmmm[[#This Row],[First Name]]," ",mmmm[[#This Row],[Last Name]])</f>
        <v>Ahmad Alshalaq</v>
      </c>
      <c r="E259" s="19" t="s">
        <v>18</v>
      </c>
      <c r="F259" s="11">
        <v>43560</v>
      </c>
      <c r="G259" s="19">
        <v>7</v>
      </c>
      <c r="H259" s="19" t="s">
        <v>38</v>
      </c>
      <c r="I259" s="19" t="s">
        <v>50</v>
      </c>
      <c r="J259" s="1" t="s">
        <v>39</v>
      </c>
      <c r="K259" s="19">
        <v>983</v>
      </c>
      <c r="L259" s="19">
        <v>11796</v>
      </c>
      <c r="M259" s="19">
        <v>5</v>
      </c>
      <c r="N259" s="19">
        <v>0</v>
      </c>
      <c r="O259" s="1">
        <v>0</v>
      </c>
      <c r="P259" s="19">
        <v>13</v>
      </c>
    </row>
    <row r="260" spans="1:16">
      <c r="A260" s="1">
        <v>259</v>
      </c>
      <c r="B260" s="1" t="s">
        <v>172</v>
      </c>
      <c r="C260" s="1" t="s">
        <v>426</v>
      </c>
      <c r="D260" s="1" t="str">
        <f>_xlfn.CONCAT(mmmm[[#This Row],[First Name]]," ",mmmm[[#This Row],[Last Name]])</f>
        <v>Mazin Zawal</v>
      </c>
      <c r="E260" s="19" t="s">
        <v>18</v>
      </c>
      <c r="F260" s="11">
        <v>43941</v>
      </c>
      <c r="G260" s="19">
        <v>6</v>
      </c>
      <c r="H260" s="19" t="s">
        <v>52</v>
      </c>
      <c r="I260" s="19" t="s">
        <v>20</v>
      </c>
      <c r="J260" s="1" t="s">
        <v>39</v>
      </c>
      <c r="K260" s="19">
        <v>1223</v>
      </c>
      <c r="L260" s="19">
        <v>14676</v>
      </c>
      <c r="M260" s="19">
        <v>1</v>
      </c>
      <c r="N260" s="19">
        <v>6</v>
      </c>
      <c r="O260" s="1">
        <v>0</v>
      </c>
      <c r="P260" s="19">
        <v>10</v>
      </c>
    </row>
    <row r="261" spans="1:16">
      <c r="A261" s="1">
        <v>260</v>
      </c>
      <c r="B261" s="1" t="s">
        <v>427</v>
      </c>
      <c r="C261" s="1" t="s">
        <v>428</v>
      </c>
      <c r="D261" s="1" t="str">
        <f>_xlfn.CONCAT(mmmm[[#This Row],[First Name]]," ",mmmm[[#This Row],[Last Name]])</f>
        <v>Diana Aleabd</v>
      </c>
      <c r="E261" s="19" t="s">
        <v>27</v>
      </c>
      <c r="F261" s="11">
        <v>44025</v>
      </c>
      <c r="G261" s="19">
        <v>6</v>
      </c>
      <c r="H261" s="19" t="s">
        <v>146</v>
      </c>
      <c r="I261" s="19" t="s">
        <v>20</v>
      </c>
      <c r="J261" s="1" t="s">
        <v>39</v>
      </c>
      <c r="K261" s="19">
        <v>833</v>
      </c>
      <c r="L261" s="19">
        <v>9996</v>
      </c>
      <c r="M261" s="19">
        <v>1</v>
      </c>
      <c r="N261" s="19">
        <v>1</v>
      </c>
      <c r="O261" s="1">
        <v>0</v>
      </c>
      <c r="P261" s="19">
        <v>5</v>
      </c>
    </row>
    <row r="262" spans="1:16">
      <c r="A262" s="1">
        <v>261</v>
      </c>
      <c r="B262" s="1" t="s">
        <v>429</v>
      </c>
      <c r="C262" s="1" t="s">
        <v>430</v>
      </c>
      <c r="D262" s="1" t="str">
        <f>_xlfn.CONCAT(mmmm[[#This Row],[First Name]]," ",mmmm[[#This Row],[Last Name]])</f>
        <v>Kawkab Qarqazan</v>
      </c>
      <c r="E262" s="19" t="s">
        <v>27</v>
      </c>
      <c r="F262" s="11">
        <v>43230</v>
      </c>
      <c r="G262" s="19">
        <v>8</v>
      </c>
      <c r="H262" s="19" t="s">
        <v>19</v>
      </c>
      <c r="I262" s="19" t="s">
        <v>20</v>
      </c>
      <c r="J262" s="1" t="s">
        <v>21</v>
      </c>
      <c r="K262" s="19">
        <v>2074</v>
      </c>
      <c r="L262" s="19">
        <v>24888</v>
      </c>
      <c r="M262" s="19">
        <v>3</v>
      </c>
      <c r="N262" s="19">
        <v>1</v>
      </c>
      <c r="O262" s="1">
        <v>0</v>
      </c>
      <c r="P262" s="19">
        <v>2</v>
      </c>
    </row>
    <row r="263" spans="1:16">
      <c r="A263" s="1">
        <v>262</v>
      </c>
      <c r="B263" s="1" t="s">
        <v>431</v>
      </c>
      <c r="C263" s="1" t="s">
        <v>432</v>
      </c>
      <c r="D263" s="1" t="str">
        <f>_xlfn.CONCAT(mmmm[[#This Row],[First Name]]," ",mmmm[[#This Row],[Last Name]])</f>
        <v>Thamir Abu Ghazy</v>
      </c>
      <c r="E263" s="19" t="s">
        <v>18</v>
      </c>
      <c r="F263" s="11">
        <v>43171</v>
      </c>
      <c r="G263" s="19">
        <v>8</v>
      </c>
      <c r="H263" s="19" t="s">
        <v>19</v>
      </c>
      <c r="I263" s="19" t="s">
        <v>32</v>
      </c>
      <c r="J263" s="1" t="s">
        <v>62</v>
      </c>
      <c r="K263" s="19">
        <v>2811</v>
      </c>
      <c r="L263" s="19">
        <v>33732</v>
      </c>
      <c r="M263" s="19">
        <v>3</v>
      </c>
      <c r="N263" s="19">
        <v>0</v>
      </c>
      <c r="O263" s="1">
        <v>1</v>
      </c>
      <c r="P263" s="19">
        <v>9</v>
      </c>
    </row>
    <row r="264" spans="1:16">
      <c r="A264" s="1">
        <v>263</v>
      </c>
      <c r="B264" s="1" t="s">
        <v>36</v>
      </c>
      <c r="C264" s="1" t="s">
        <v>433</v>
      </c>
      <c r="D264" s="1" t="str">
        <f>_xlfn.CONCAT(mmmm[[#This Row],[First Name]]," ",mmmm[[#This Row],[Last Name]])</f>
        <v>Muhamad Alabth</v>
      </c>
      <c r="E264" s="19" t="s">
        <v>18</v>
      </c>
      <c r="F264" s="11">
        <v>43731</v>
      </c>
      <c r="G264" s="19">
        <v>6</v>
      </c>
      <c r="H264" s="19" t="s">
        <v>19</v>
      </c>
      <c r="I264" s="19" t="s">
        <v>24</v>
      </c>
      <c r="J264" s="1" t="s">
        <v>39</v>
      </c>
      <c r="K264" s="19">
        <v>1436</v>
      </c>
      <c r="L264" s="19">
        <v>17232</v>
      </c>
      <c r="M264" s="19">
        <v>4.5</v>
      </c>
      <c r="N264" s="19">
        <v>3</v>
      </c>
      <c r="O264" s="1">
        <v>4</v>
      </c>
      <c r="P264" s="19">
        <v>4</v>
      </c>
    </row>
    <row r="265" spans="1:16">
      <c r="A265" s="1">
        <v>264</v>
      </c>
      <c r="B265" s="1" t="s">
        <v>434</v>
      </c>
      <c r="C265" s="1" t="s">
        <v>435</v>
      </c>
      <c r="D265" s="1" t="str">
        <f>_xlfn.CONCAT(mmmm[[#This Row],[First Name]]," ",mmmm[[#This Row],[Last Name]])</f>
        <v>Khadijah Abu Taqih</v>
      </c>
      <c r="E265" s="19" t="s">
        <v>27</v>
      </c>
      <c r="F265" s="11">
        <v>43647</v>
      </c>
      <c r="G265" s="19">
        <v>7</v>
      </c>
      <c r="H265" s="19" t="s">
        <v>31</v>
      </c>
      <c r="I265" s="19" t="s">
        <v>20</v>
      </c>
      <c r="J265" s="1" t="s">
        <v>39</v>
      </c>
      <c r="K265" s="19">
        <v>1041</v>
      </c>
      <c r="L265" s="19">
        <v>12492</v>
      </c>
      <c r="M265" s="19">
        <v>2</v>
      </c>
      <c r="N265" s="19">
        <v>2</v>
      </c>
      <c r="O265" s="1">
        <v>0</v>
      </c>
      <c r="P265" s="19">
        <v>5</v>
      </c>
    </row>
    <row r="266" spans="1:16">
      <c r="A266" s="1">
        <v>265</v>
      </c>
      <c r="B266" s="1" t="s">
        <v>436</v>
      </c>
      <c r="C266" s="1" t="s">
        <v>437</v>
      </c>
      <c r="D266" s="1" t="str">
        <f>_xlfn.CONCAT(mmmm[[#This Row],[First Name]]," ",mmmm[[#This Row],[Last Name]])</f>
        <v>Salwaa Alsyd</v>
      </c>
      <c r="E266" s="19" t="s">
        <v>27</v>
      </c>
      <c r="F266" s="11">
        <v>43266</v>
      </c>
      <c r="G266" s="19">
        <v>8</v>
      </c>
      <c r="H266" s="19" t="s">
        <v>19</v>
      </c>
      <c r="I266" s="19" t="s">
        <v>20</v>
      </c>
      <c r="J266" s="1" t="s">
        <v>33</v>
      </c>
      <c r="K266" s="19">
        <v>2231</v>
      </c>
      <c r="L266" s="19">
        <v>26772</v>
      </c>
      <c r="M266" s="19">
        <v>3</v>
      </c>
      <c r="N266" s="19">
        <v>0</v>
      </c>
      <c r="O266" s="1">
        <v>0</v>
      </c>
      <c r="P266" s="19">
        <v>87</v>
      </c>
    </row>
    <row r="267" spans="1:16">
      <c r="A267" s="1">
        <v>266</v>
      </c>
      <c r="B267" s="1" t="s">
        <v>438</v>
      </c>
      <c r="C267" s="1" t="s">
        <v>439</v>
      </c>
      <c r="D267" s="1" t="str">
        <f>_xlfn.CONCAT(mmmm[[#This Row],[First Name]]," ",mmmm[[#This Row],[Last Name]])</f>
        <v>Muayid Shbyb</v>
      </c>
      <c r="E267" s="19" t="s">
        <v>18</v>
      </c>
      <c r="F267" s="11">
        <v>43512</v>
      </c>
      <c r="G267" s="19">
        <v>7</v>
      </c>
      <c r="H267" s="19" t="s">
        <v>60</v>
      </c>
      <c r="I267" s="19" t="s">
        <v>32</v>
      </c>
      <c r="J267" s="1" t="s">
        <v>21</v>
      </c>
      <c r="K267" s="19">
        <v>1036</v>
      </c>
      <c r="L267" s="19">
        <v>12432</v>
      </c>
      <c r="M267" s="19">
        <v>3</v>
      </c>
      <c r="N267" s="19">
        <v>0</v>
      </c>
      <c r="O267" s="1">
        <v>0</v>
      </c>
      <c r="P267" s="19">
        <v>1</v>
      </c>
    </row>
    <row r="268" spans="1:16">
      <c r="A268" s="1">
        <v>267</v>
      </c>
      <c r="B268" s="1" t="s">
        <v>440</v>
      </c>
      <c r="C268" s="1" t="s">
        <v>441</v>
      </c>
      <c r="D268" s="1" t="str">
        <f>_xlfn.CONCAT(mmmm[[#This Row],[First Name]]," ",mmmm[[#This Row],[Last Name]])</f>
        <v>Rannym Tyru</v>
      </c>
      <c r="E268" s="19" t="s">
        <v>27</v>
      </c>
      <c r="F268" s="11">
        <v>44119</v>
      </c>
      <c r="G268" s="19">
        <v>5</v>
      </c>
      <c r="H268" s="19" t="s">
        <v>19</v>
      </c>
      <c r="I268" s="19" t="s">
        <v>20</v>
      </c>
      <c r="J268" s="1" t="s">
        <v>39</v>
      </c>
      <c r="K268" s="19">
        <v>2143</v>
      </c>
      <c r="L268" s="19">
        <v>25716</v>
      </c>
      <c r="M268" s="19">
        <v>5</v>
      </c>
      <c r="N268" s="19">
        <v>0</v>
      </c>
      <c r="O268" s="1">
        <v>0</v>
      </c>
      <c r="P268" s="19">
        <v>45</v>
      </c>
    </row>
    <row r="269" spans="1:16">
      <c r="A269" s="1">
        <v>268</v>
      </c>
      <c r="B269" s="1" t="s">
        <v>40</v>
      </c>
      <c r="C269" s="1" t="s">
        <v>442</v>
      </c>
      <c r="D269" s="1" t="str">
        <f>_xlfn.CONCAT(mmmm[[#This Row],[First Name]]," ",mmmm[[#This Row],[Last Name]])</f>
        <v>Iin Alhaju Bikr</v>
      </c>
      <c r="E269" s="19" t="s">
        <v>27</v>
      </c>
      <c r="F269" s="11">
        <v>43837</v>
      </c>
      <c r="G269" s="19">
        <v>6</v>
      </c>
      <c r="H269" s="19" t="s">
        <v>79</v>
      </c>
      <c r="I269" s="19" t="s">
        <v>32</v>
      </c>
      <c r="J269" s="1" t="s">
        <v>62</v>
      </c>
      <c r="K269" s="19">
        <v>967</v>
      </c>
      <c r="L269" s="19">
        <v>11604</v>
      </c>
      <c r="M269" s="19">
        <v>5</v>
      </c>
      <c r="N269" s="19">
        <v>0</v>
      </c>
      <c r="O269" s="1">
        <v>4</v>
      </c>
      <c r="P269" s="19">
        <v>9</v>
      </c>
    </row>
    <row r="270" spans="1:16">
      <c r="A270" s="1">
        <v>269</v>
      </c>
      <c r="B270" s="1" t="s">
        <v>248</v>
      </c>
      <c r="C270" s="1" t="s">
        <v>443</v>
      </c>
      <c r="D270" s="1" t="str">
        <f>_xlfn.CONCAT(mmmm[[#This Row],[First Name]]," ",mmmm[[#This Row],[Last Name]])</f>
        <v>Jihad Aldukifi</v>
      </c>
      <c r="E270" s="19" t="s">
        <v>18</v>
      </c>
      <c r="F270" s="11">
        <v>44028</v>
      </c>
      <c r="G270" s="19">
        <v>6</v>
      </c>
      <c r="H270" s="19" t="s">
        <v>38</v>
      </c>
      <c r="I270" s="19" t="s">
        <v>20</v>
      </c>
      <c r="J270" s="1" t="s">
        <v>62</v>
      </c>
      <c r="K270" s="19">
        <v>2510</v>
      </c>
      <c r="L270" s="19">
        <v>30120</v>
      </c>
      <c r="M270" s="19">
        <v>1</v>
      </c>
      <c r="N270" s="19">
        <v>0</v>
      </c>
      <c r="O270" s="1">
        <v>0</v>
      </c>
      <c r="P270" s="19">
        <v>3</v>
      </c>
    </row>
    <row r="271" spans="1:16">
      <c r="A271" s="1">
        <v>270</v>
      </c>
      <c r="B271" s="1" t="s">
        <v>444</v>
      </c>
      <c r="C271" s="1" t="s">
        <v>445</v>
      </c>
      <c r="D271" s="1" t="str">
        <f>_xlfn.CONCAT(mmmm[[#This Row],[First Name]]," ",mmmm[[#This Row],[Last Name]])</f>
        <v>Sandurana Antun</v>
      </c>
      <c r="E271" s="19" t="s">
        <v>27</v>
      </c>
      <c r="F271" s="11">
        <v>43555</v>
      </c>
      <c r="G271" s="19">
        <v>7</v>
      </c>
      <c r="H271" s="19" t="s">
        <v>60</v>
      </c>
      <c r="I271" s="19" t="s">
        <v>20</v>
      </c>
      <c r="J271" s="1" t="s">
        <v>33</v>
      </c>
      <c r="K271" s="19">
        <v>3364</v>
      </c>
      <c r="L271" s="19">
        <v>40368</v>
      </c>
      <c r="M271" s="19">
        <v>2</v>
      </c>
      <c r="N271" s="19">
        <v>0</v>
      </c>
      <c r="O271" s="1">
        <v>0</v>
      </c>
      <c r="P271" s="19">
        <v>1</v>
      </c>
    </row>
    <row r="272" spans="1:16">
      <c r="A272" s="1">
        <v>271</v>
      </c>
      <c r="B272" s="1" t="s">
        <v>91</v>
      </c>
      <c r="C272" s="1" t="s">
        <v>446</v>
      </c>
      <c r="D272" s="1" t="str">
        <f>_xlfn.CONCAT(mmmm[[#This Row],[First Name]]," ",mmmm[[#This Row],[Last Name]])</f>
        <v>Eala Darkzifli</v>
      </c>
      <c r="E272" s="19" t="s">
        <v>27</v>
      </c>
      <c r="F272" s="11">
        <v>43471</v>
      </c>
      <c r="G272" s="19">
        <v>7</v>
      </c>
      <c r="H272" s="19" t="s">
        <v>79</v>
      </c>
      <c r="I272" s="19" t="s">
        <v>20</v>
      </c>
      <c r="J272" s="1" t="s">
        <v>21</v>
      </c>
      <c r="K272" s="19">
        <v>3420</v>
      </c>
      <c r="L272" s="19">
        <v>41040</v>
      </c>
      <c r="M272" s="19">
        <v>5</v>
      </c>
      <c r="N272" s="19">
        <v>6</v>
      </c>
      <c r="O272" s="1">
        <v>0</v>
      </c>
      <c r="P272" s="19">
        <v>10</v>
      </c>
    </row>
    <row r="273" spans="1:16">
      <c r="A273" s="1">
        <v>272</v>
      </c>
      <c r="B273" s="1" t="s">
        <v>71</v>
      </c>
      <c r="C273" s="1" t="s">
        <v>447</v>
      </c>
      <c r="D273" s="1" t="str">
        <f>_xlfn.CONCAT(mmmm[[#This Row],[First Name]]," ",mmmm[[#This Row],[Last Name]])</f>
        <v>Samir Alsaeid</v>
      </c>
      <c r="E273" s="19" t="s">
        <v>18</v>
      </c>
      <c r="F273" s="11">
        <v>43722</v>
      </c>
      <c r="G273" s="19">
        <v>6</v>
      </c>
      <c r="H273" s="19" t="s">
        <v>120</v>
      </c>
      <c r="I273" s="19" t="s">
        <v>32</v>
      </c>
      <c r="J273" s="1" t="s">
        <v>62</v>
      </c>
      <c r="K273" s="19">
        <v>2229</v>
      </c>
      <c r="L273" s="19">
        <v>26748</v>
      </c>
      <c r="M273" s="19">
        <v>3</v>
      </c>
      <c r="N273" s="19">
        <v>3</v>
      </c>
      <c r="O273" s="1">
        <v>0</v>
      </c>
      <c r="P273" s="19">
        <v>1</v>
      </c>
    </row>
    <row r="274" spans="1:16">
      <c r="A274" s="1">
        <v>273</v>
      </c>
      <c r="B274" s="1" t="s">
        <v>304</v>
      </c>
      <c r="C274" s="1" t="s">
        <v>448</v>
      </c>
      <c r="D274" s="1" t="str">
        <f>_xlfn.CONCAT(mmmm[[#This Row],[First Name]]," ",mmmm[[#This Row],[Last Name]])</f>
        <v>Amir Alhifar</v>
      </c>
      <c r="E274" s="19" t="s">
        <v>18</v>
      </c>
      <c r="F274" s="11">
        <v>43978</v>
      </c>
      <c r="G274" s="19">
        <v>6</v>
      </c>
      <c r="H274" s="19" t="s">
        <v>120</v>
      </c>
      <c r="I274" s="19" t="s">
        <v>20</v>
      </c>
      <c r="J274" s="1" t="s">
        <v>21</v>
      </c>
      <c r="K274" s="19">
        <v>1910</v>
      </c>
      <c r="L274" s="19">
        <v>22920</v>
      </c>
      <c r="M274" s="19">
        <v>5</v>
      </c>
      <c r="N274" s="19">
        <v>2</v>
      </c>
      <c r="O274" s="1">
        <v>0</v>
      </c>
      <c r="P274" s="19">
        <v>5</v>
      </c>
    </row>
    <row r="275" spans="1:16">
      <c r="A275" s="1">
        <v>274</v>
      </c>
      <c r="B275" s="1" t="s">
        <v>376</v>
      </c>
      <c r="C275" s="1" t="s">
        <v>218</v>
      </c>
      <c r="D275" s="1" t="str">
        <f>_xlfn.CONCAT(mmmm[[#This Row],[First Name]]," ",mmmm[[#This Row],[Last Name]])</f>
        <v>Lama Almala</v>
      </c>
      <c r="E275" s="19" t="s">
        <v>27</v>
      </c>
      <c r="F275" s="11">
        <v>43684</v>
      </c>
      <c r="G275" s="19">
        <v>6</v>
      </c>
      <c r="H275" s="19" t="s">
        <v>78</v>
      </c>
      <c r="I275" s="19" t="s">
        <v>20</v>
      </c>
      <c r="J275" s="1" t="s">
        <v>39</v>
      </c>
      <c r="K275" s="19">
        <v>1917</v>
      </c>
      <c r="L275" s="19">
        <v>23004</v>
      </c>
      <c r="M275" s="19">
        <v>4.5</v>
      </c>
      <c r="N275" s="19">
        <v>0</v>
      </c>
      <c r="O275" s="1">
        <v>1</v>
      </c>
      <c r="P275" s="19">
        <v>84</v>
      </c>
    </row>
    <row r="276" spans="1:16">
      <c r="A276" s="1">
        <v>275</v>
      </c>
      <c r="B276" s="1" t="s">
        <v>370</v>
      </c>
      <c r="C276" s="1" t="s">
        <v>449</v>
      </c>
      <c r="D276" s="1" t="str">
        <f>_xlfn.CONCAT(mmmm[[#This Row],[First Name]]," ",mmmm[[#This Row],[Last Name]])</f>
        <v>Hasan Kalthum</v>
      </c>
      <c r="E276" s="19" t="s">
        <v>18</v>
      </c>
      <c r="F276" s="11">
        <v>43454</v>
      </c>
      <c r="G276" s="19">
        <v>7</v>
      </c>
      <c r="H276" s="19" t="s">
        <v>19</v>
      </c>
      <c r="I276" s="19" t="s">
        <v>20</v>
      </c>
      <c r="J276" s="1" t="s">
        <v>39</v>
      </c>
      <c r="K276" s="19">
        <v>831</v>
      </c>
      <c r="L276" s="19">
        <v>9972</v>
      </c>
      <c r="M276" s="19">
        <v>1</v>
      </c>
      <c r="N276" s="19">
        <v>1</v>
      </c>
      <c r="O276" s="1">
        <v>2</v>
      </c>
      <c r="P276" s="19">
        <v>7</v>
      </c>
    </row>
    <row r="277" spans="1:16">
      <c r="A277" s="1">
        <v>276</v>
      </c>
      <c r="B277" s="1" t="s">
        <v>36</v>
      </c>
      <c r="C277" s="1" t="s">
        <v>450</v>
      </c>
      <c r="D277" s="1" t="str">
        <f>_xlfn.CONCAT(mmmm[[#This Row],[First Name]]," ",mmmm[[#This Row],[Last Name]])</f>
        <v>Muhamad Saeadat</v>
      </c>
      <c r="E277" s="19" t="s">
        <v>18</v>
      </c>
      <c r="F277" s="11">
        <v>43652</v>
      </c>
      <c r="G277" s="19">
        <v>7</v>
      </c>
      <c r="H277" s="19" t="s">
        <v>19</v>
      </c>
      <c r="I277" s="19" t="s">
        <v>32</v>
      </c>
      <c r="J277" s="1" t="s">
        <v>33</v>
      </c>
      <c r="K277" s="19">
        <v>2636</v>
      </c>
      <c r="L277" s="19">
        <v>31632</v>
      </c>
      <c r="M277" s="19">
        <v>4.5</v>
      </c>
      <c r="N277" s="19">
        <v>0</v>
      </c>
      <c r="O277" s="1">
        <v>2</v>
      </c>
      <c r="P277" s="19">
        <v>4</v>
      </c>
    </row>
    <row r="278" spans="1:16">
      <c r="A278" s="1">
        <v>277</v>
      </c>
      <c r="B278" s="1" t="s">
        <v>84</v>
      </c>
      <c r="C278" s="1" t="s">
        <v>451</v>
      </c>
      <c r="D278" s="1" t="str">
        <f>_xlfn.CONCAT(mmmm[[#This Row],[First Name]]," ",mmmm[[#This Row],[Last Name]])</f>
        <v>Rana Eijrush</v>
      </c>
      <c r="E278" s="19" t="s">
        <v>27</v>
      </c>
      <c r="F278" s="11">
        <v>43348</v>
      </c>
      <c r="G278" s="19">
        <v>7</v>
      </c>
      <c r="H278" s="19" t="s">
        <v>44</v>
      </c>
      <c r="I278" s="19" t="s">
        <v>50</v>
      </c>
      <c r="J278" s="1" t="s">
        <v>33</v>
      </c>
      <c r="K278" s="19">
        <v>2929</v>
      </c>
      <c r="L278" s="19">
        <v>35148</v>
      </c>
      <c r="M278" s="19">
        <v>2</v>
      </c>
      <c r="N278" s="19">
        <v>0</v>
      </c>
      <c r="O278" s="1">
        <v>1</v>
      </c>
      <c r="P278" s="19">
        <v>4</v>
      </c>
    </row>
    <row r="279" spans="1:16">
      <c r="A279" s="1">
        <v>278</v>
      </c>
      <c r="B279" s="1" t="s">
        <v>197</v>
      </c>
      <c r="C279" s="1" t="s">
        <v>452</v>
      </c>
      <c r="D279" s="1" t="str">
        <f>_xlfn.CONCAT(mmmm[[#This Row],[First Name]]," ",mmmm[[#This Row],[Last Name]])</f>
        <v>Tariq Alkinaya</v>
      </c>
      <c r="E279" s="19" t="s">
        <v>18</v>
      </c>
      <c r="F279" s="11">
        <v>43764</v>
      </c>
      <c r="G279" s="19">
        <v>6</v>
      </c>
      <c r="H279" s="19" t="s">
        <v>19</v>
      </c>
      <c r="I279" s="19" t="s">
        <v>20</v>
      </c>
      <c r="J279" s="1" t="s">
        <v>39</v>
      </c>
      <c r="K279" s="19">
        <v>1255</v>
      </c>
      <c r="L279" s="19">
        <v>15060</v>
      </c>
      <c r="M279" s="19">
        <v>1</v>
      </c>
      <c r="N279" s="19">
        <v>6</v>
      </c>
      <c r="O279" s="1">
        <v>0</v>
      </c>
      <c r="P279" s="19">
        <v>15</v>
      </c>
    </row>
    <row r="280" spans="1:16">
      <c r="A280" s="1">
        <v>279</v>
      </c>
      <c r="B280" s="1" t="s">
        <v>274</v>
      </c>
      <c r="C280" s="1" t="s">
        <v>453</v>
      </c>
      <c r="D280" s="1" t="str">
        <f>_xlfn.CONCAT(mmmm[[#This Row],[First Name]]," ",mmmm[[#This Row],[Last Name]])</f>
        <v>Amjad Alrz</v>
      </c>
      <c r="E280" s="19" t="s">
        <v>18</v>
      </c>
      <c r="F280" s="11">
        <v>43933</v>
      </c>
      <c r="G280" s="19">
        <v>6</v>
      </c>
      <c r="H280" s="19" t="s">
        <v>19</v>
      </c>
      <c r="I280" s="19" t="s">
        <v>32</v>
      </c>
      <c r="J280" s="1" t="s">
        <v>33</v>
      </c>
      <c r="K280" s="19">
        <v>2210</v>
      </c>
      <c r="L280" s="19">
        <v>26520</v>
      </c>
      <c r="M280" s="19">
        <v>3</v>
      </c>
      <c r="N280" s="19">
        <v>0</v>
      </c>
      <c r="O280" s="1">
        <v>0</v>
      </c>
      <c r="P280" s="19">
        <v>13</v>
      </c>
    </row>
    <row r="281" spans="1:16">
      <c r="A281" s="1">
        <v>280</v>
      </c>
      <c r="B281" s="1" t="s">
        <v>454</v>
      </c>
      <c r="C281" s="1" t="s">
        <v>455</v>
      </c>
      <c r="D281" s="1" t="str">
        <f>_xlfn.CONCAT(mmmm[[#This Row],[First Name]]," ",mmmm[[#This Row],[Last Name]])</f>
        <v>Daniah Alhariri</v>
      </c>
      <c r="E281" s="19" t="s">
        <v>27</v>
      </c>
      <c r="F281" s="11">
        <v>43753</v>
      </c>
      <c r="G281" s="19">
        <v>6</v>
      </c>
      <c r="H281" s="19" t="s">
        <v>19</v>
      </c>
      <c r="I281" s="19" t="s">
        <v>20</v>
      </c>
      <c r="J281" s="1" t="s">
        <v>39</v>
      </c>
      <c r="K281" s="19">
        <v>1788</v>
      </c>
      <c r="L281" s="19">
        <v>21456</v>
      </c>
      <c r="M281" s="19">
        <v>5</v>
      </c>
      <c r="N281" s="19">
        <v>1</v>
      </c>
      <c r="O281" s="1">
        <v>0</v>
      </c>
      <c r="P281" s="19">
        <v>9</v>
      </c>
    </row>
    <row r="282" spans="1:16">
      <c r="A282" s="1">
        <v>281</v>
      </c>
      <c r="B282" s="1" t="s">
        <v>370</v>
      </c>
      <c r="C282" s="1" t="s">
        <v>456</v>
      </c>
      <c r="D282" s="1" t="str">
        <f>_xlfn.CONCAT(mmmm[[#This Row],[First Name]]," ",mmmm[[#This Row],[Last Name]])</f>
        <v>Hasan Quidr</v>
      </c>
      <c r="E282" s="19" t="s">
        <v>18</v>
      </c>
      <c r="F282" s="11">
        <v>43951</v>
      </c>
      <c r="G282" s="19">
        <v>6</v>
      </c>
      <c r="H282" s="19" t="s">
        <v>19</v>
      </c>
      <c r="I282" s="19" t="s">
        <v>20</v>
      </c>
      <c r="J282" s="1" t="s">
        <v>39</v>
      </c>
      <c r="K282" s="19">
        <v>2488</v>
      </c>
      <c r="L282" s="19">
        <v>29856</v>
      </c>
      <c r="M282" s="19">
        <v>5</v>
      </c>
      <c r="N282" s="19">
        <v>0</v>
      </c>
      <c r="O282" s="1">
        <v>5</v>
      </c>
      <c r="P282" s="19">
        <v>3</v>
      </c>
    </row>
    <row r="283" spans="1:16">
      <c r="A283" s="1">
        <v>282</v>
      </c>
      <c r="B283" s="1" t="s">
        <v>36</v>
      </c>
      <c r="C283" s="1" t="s">
        <v>457</v>
      </c>
      <c r="D283" s="1" t="str">
        <f>_xlfn.CONCAT(mmmm[[#This Row],[First Name]]," ",mmmm[[#This Row],[Last Name]])</f>
        <v>Muhamad Shaykh Janid</v>
      </c>
      <c r="E283" s="19" t="s">
        <v>18</v>
      </c>
      <c r="F283" s="11">
        <v>43939</v>
      </c>
      <c r="G283" s="19">
        <v>6</v>
      </c>
      <c r="H283" s="19" t="s">
        <v>31</v>
      </c>
      <c r="I283" s="19" t="s">
        <v>20</v>
      </c>
      <c r="J283" s="1" t="s">
        <v>39</v>
      </c>
      <c r="K283" s="19">
        <v>2187</v>
      </c>
      <c r="L283" s="19">
        <v>26244</v>
      </c>
      <c r="M283" s="19">
        <v>5</v>
      </c>
      <c r="N283" s="19">
        <v>1</v>
      </c>
      <c r="O283" s="1">
        <v>3</v>
      </c>
      <c r="P283" s="19">
        <v>2</v>
      </c>
    </row>
    <row r="284" spans="1:16">
      <c r="A284" s="1">
        <v>283</v>
      </c>
      <c r="B284" s="1" t="s">
        <v>458</v>
      </c>
      <c r="C284" s="1" t="s">
        <v>459</v>
      </c>
      <c r="D284" s="1" t="str">
        <f>_xlfn.CONCAT(mmmm[[#This Row],[First Name]]," ",mmmm[[#This Row],[Last Name]])</f>
        <v>Esamat Zaza</v>
      </c>
      <c r="E284" s="19" t="s">
        <v>18</v>
      </c>
      <c r="F284" s="11">
        <v>43963</v>
      </c>
      <c r="G284" s="19">
        <v>6</v>
      </c>
      <c r="H284" s="19" t="s">
        <v>19</v>
      </c>
      <c r="I284" s="19" t="s">
        <v>20</v>
      </c>
      <c r="J284" s="1" t="s">
        <v>33</v>
      </c>
      <c r="K284" s="19">
        <v>1366</v>
      </c>
      <c r="L284" s="19">
        <v>16392</v>
      </c>
      <c r="M284" s="19">
        <v>2</v>
      </c>
      <c r="N284" s="19">
        <v>0</v>
      </c>
      <c r="O284" s="1">
        <v>0</v>
      </c>
      <c r="P284" s="19">
        <v>13</v>
      </c>
    </row>
    <row r="285" spans="1:16">
      <c r="A285" s="1">
        <v>284</v>
      </c>
      <c r="B285" s="1" t="s">
        <v>199</v>
      </c>
      <c r="C285" s="1" t="s">
        <v>460</v>
      </c>
      <c r="D285" s="1" t="str">
        <f>_xlfn.CONCAT(mmmm[[#This Row],[First Name]]," ",mmmm[[#This Row],[Last Name]])</f>
        <v>Fadi Hububati</v>
      </c>
      <c r="E285" s="19" t="s">
        <v>18</v>
      </c>
      <c r="F285" s="11">
        <v>43591</v>
      </c>
      <c r="G285" s="19">
        <v>7</v>
      </c>
      <c r="H285" s="19" t="s">
        <v>79</v>
      </c>
      <c r="I285" s="19" t="s">
        <v>20</v>
      </c>
      <c r="J285" s="1" t="s">
        <v>21</v>
      </c>
      <c r="K285" s="19">
        <v>2612</v>
      </c>
      <c r="L285" s="19">
        <v>31344</v>
      </c>
      <c r="M285" s="19">
        <v>5</v>
      </c>
      <c r="N285" s="19">
        <v>0</v>
      </c>
      <c r="O285" s="1">
        <v>0</v>
      </c>
      <c r="P285" s="19">
        <v>8</v>
      </c>
    </row>
    <row r="286" spans="1:16">
      <c r="A286" s="1">
        <v>285</v>
      </c>
      <c r="B286" s="1" t="s">
        <v>461</v>
      </c>
      <c r="C286" s="1" t="s">
        <v>462</v>
      </c>
      <c r="D286" s="1" t="str">
        <f>_xlfn.CONCAT(mmmm[[#This Row],[First Name]]," ",mmmm[[#This Row],[Last Name]])</f>
        <v>Adnan Alhusayn</v>
      </c>
      <c r="E286" s="19" t="s">
        <v>18</v>
      </c>
      <c r="F286" s="11">
        <v>43199</v>
      </c>
      <c r="G286" s="19">
        <v>8</v>
      </c>
      <c r="H286" s="19" t="s">
        <v>44</v>
      </c>
      <c r="I286" s="19" t="s">
        <v>32</v>
      </c>
      <c r="J286" s="1" t="s">
        <v>33</v>
      </c>
      <c r="K286" s="19">
        <v>2246</v>
      </c>
      <c r="L286" s="19">
        <v>26952</v>
      </c>
      <c r="M286" s="19">
        <v>5</v>
      </c>
      <c r="N286" s="19">
        <v>0</v>
      </c>
      <c r="O286" s="1">
        <v>0</v>
      </c>
      <c r="P286" s="19">
        <v>8</v>
      </c>
    </row>
    <row r="287" spans="1:16">
      <c r="A287" s="1">
        <v>286</v>
      </c>
      <c r="B287" s="1" t="s">
        <v>36</v>
      </c>
      <c r="C287" s="1" t="s">
        <v>463</v>
      </c>
      <c r="D287" s="1" t="str">
        <f>_xlfn.CONCAT(mmmm[[#This Row],[First Name]]," ",mmmm[[#This Row],[Last Name]])</f>
        <v>Muhamad Allibad</v>
      </c>
      <c r="E287" s="19" t="s">
        <v>18</v>
      </c>
      <c r="F287" s="11">
        <v>43307</v>
      </c>
      <c r="G287" s="19">
        <v>8</v>
      </c>
      <c r="H287" s="19" t="s">
        <v>19</v>
      </c>
      <c r="I287" s="19" t="s">
        <v>20</v>
      </c>
      <c r="J287" s="1" t="s">
        <v>33</v>
      </c>
      <c r="K287" s="19">
        <v>2761</v>
      </c>
      <c r="L287" s="19">
        <v>33132</v>
      </c>
      <c r="M287" s="19">
        <v>5</v>
      </c>
      <c r="N287" s="19">
        <v>0</v>
      </c>
      <c r="O287" s="1">
        <v>2</v>
      </c>
      <c r="P287" s="19">
        <v>5</v>
      </c>
    </row>
    <row r="288" spans="1:16">
      <c r="A288" s="1">
        <v>287</v>
      </c>
      <c r="B288" s="1" t="s">
        <v>464</v>
      </c>
      <c r="C288" s="1" t="s">
        <v>465</v>
      </c>
      <c r="D288" s="1" t="str">
        <f>_xlfn.CONCAT(mmmm[[#This Row],[First Name]]," ",mmmm[[#This Row],[Last Name]])</f>
        <v>Tana Dahruj</v>
      </c>
      <c r="E288" s="19" t="s">
        <v>27</v>
      </c>
      <c r="F288" s="11">
        <v>43800</v>
      </c>
      <c r="G288" s="19">
        <v>6</v>
      </c>
      <c r="H288" s="19" t="s">
        <v>120</v>
      </c>
      <c r="I288" s="19" t="s">
        <v>20</v>
      </c>
      <c r="J288" s="1" t="s">
        <v>33</v>
      </c>
      <c r="K288" s="19">
        <v>1536</v>
      </c>
      <c r="L288" s="19">
        <v>18432</v>
      </c>
      <c r="M288" s="19">
        <v>4.5</v>
      </c>
      <c r="N288" s="19">
        <v>0</v>
      </c>
      <c r="O288" s="1">
        <v>0</v>
      </c>
      <c r="P288" s="19">
        <v>76</v>
      </c>
    </row>
    <row r="289" spans="1:16">
      <c r="A289" s="1">
        <v>288</v>
      </c>
      <c r="B289" s="1" t="s">
        <v>36</v>
      </c>
      <c r="C289" s="1" t="s">
        <v>466</v>
      </c>
      <c r="D289" s="1" t="str">
        <f>_xlfn.CONCAT(mmmm[[#This Row],[First Name]]," ",mmmm[[#This Row],[Last Name]])</f>
        <v>Muhamad Almtlq</v>
      </c>
      <c r="E289" s="19" t="s">
        <v>18</v>
      </c>
      <c r="F289" s="11">
        <v>42684</v>
      </c>
      <c r="G289" s="19">
        <v>9</v>
      </c>
      <c r="H289" s="19" t="s">
        <v>90</v>
      </c>
      <c r="I289" s="19" t="s">
        <v>24</v>
      </c>
      <c r="J289" s="1" t="s">
        <v>62</v>
      </c>
      <c r="K289" s="19">
        <v>2180</v>
      </c>
      <c r="L289" s="19">
        <v>26160</v>
      </c>
      <c r="M289" s="19">
        <v>4.5</v>
      </c>
      <c r="N289" s="19">
        <v>0</v>
      </c>
      <c r="O289" s="1">
        <v>0</v>
      </c>
      <c r="P289" s="19">
        <v>80</v>
      </c>
    </row>
    <row r="290" spans="1:16">
      <c r="A290" s="1">
        <v>289</v>
      </c>
      <c r="B290" s="1" t="s">
        <v>467</v>
      </c>
      <c r="C290" s="1" t="s">
        <v>462</v>
      </c>
      <c r="D290" s="1" t="str">
        <f>_xlfn.CONCAT(mmmm[[#This Row],[First Name]]," ",mmmm[[#This Row],[Last Name]])</f>
        <v>Sana Alhusayn</v>
      </c>
      <c r="E290" s="19" t="s">
        <v>27</v>
      </c>
      <c r="F290" s="11">
        <v>43822</v>
      </c>
      <c r="G290" s="19">
        <v>6</v>
      </c>
      <c r="H290" s="19" t="s">
        <v>44</v>
      </c>
      <c r="I290" s="19" t="s">
        <v>20</v>
      </c>
      <c r="J290" s="1" t="s">
        <v>33</v>
      </c>
      <c r="K290" s="19">
        <v>3412</v>
      </c>
      <c r="L290" s="19">
        <v>40944</v>
      </c>
      <c r="M290" s="19">
        <v>5</v>
      </c>
      <c r="N290" s="19">
        <v>2</v>
      </c>
      <c r="O290" s="1">
        <v>0</v>
      </c>
      <c r="P290" s="19">
        <v>3</v>
      </c>
    </row>
    <row r="291" spans="1:16">
      <c r="A291" s="1">
        <v>290</v>
      </c>
      <c r="B291" s="1" t="s">
        <v>36</v>
      </c>
      <c r="C291" s="1" t="s">
        <v>468</v>
      </c>
      <c r="D291" s="1" t="str">
        <f>_xlfn.CONCAT(mmmm[[#This Row],[First Name]]," ",mmmm[[#This Row],[Last Name]])</f>
        <v>Muhamad Bdraldyn</v>
      </c>
      <c r="E291" s="19" t="s">
        <v>18</v>
      </c>
      <c r="F291" s="11">
        <v>43250</v>
      </c>
      <c r="G291" s="19">
        <v>8</v>
      </c>
      <c r="H291" s="19" t="s">
        <v>55</v>
      </c>
      <c r="I291" s="19" t="s">
        <v>20</v>
      </c>
      <c r="J291" s="1" t="s">
        <v>33</v>
      </c>
      <c r="K291" s="19">
        <v>2546</v>
      </c>
      <c r="L291" s="19">
        <v>30552</v>
      </c>
      <c r="M291" s="19">
        <v>4.5</v>
      </c>
      <c r="N291" s="19">
        <v>0</v>
      </c>
      <c r="O291" s="1">
        <v>0</v>
      </c>
      <c r="P291" s="19">
        <v>6</v>
      </c>
    </row>
    <row r="292" spans="1:16">
      <c r="A292" s="1">
        <v>291</v>
      </c>
      <c r="B292" s="1" t="s">
        <v>36</v>
      </c>
      <c r="C292" s="1" t="s">
        <v>469</v>
      </c>
      <c r="D292" s="1" t="str">
        <f>_xlfn.CONCAT(mmmm[[#This Row],[First Name]]," ",mmmm[[#This Row],[Last Name]])</f>
        <v>Muhamad Eataya</v>
      </c>
      <c r="E292" s="19" t="s">
        <v>18</v>
      </c>
      <c r="F292" s="11">
        <v>43096</v>
      </c>
      <c r="G292" s="19">
        <v>8</v>
      </c>
      <c r="H292" s="19" t="s">
        <v>146</v>
      </c>
      <c r="I292" s="19" t="s">
        <v>20</v>
      </c>
      <c r="J292" s="1" t="s">
        <v>39</v>
      </c>
      <c r="K292" s="19">
        <v>1856</v>
      </c>
      <c r="L292" s="19">
        <v>22272</v>
      </c>
      <c r="M292" s="19">
        <v>5</v>
      </c>
      <c r="N292" s="19">
        <v>0</v>
      </c>
      <c r="O292" s="1">
        <v>0</v>
      </c>
      <c r="P292" s="19">
        <v>0</v>
      </c>
    </row>
    <row r="293" spans="1:16">
      <c r="A293" s="1">
        <v>292</v>
      </c>
      <c r="B293" s="1" t="s">
        <v>199</v>
      </c>
      <c r="C293" s="1" t="s">
        <v>470</v>
      </c>
      <c r="D293" s="1" t="str">
        <f>_xlfn.CONCAT(mmmm[[#This Row],[First Name]]," ",mmmm[[#This Row],[Last Name]])</f>
        <v>Fadi Aljizamati</v>
      </c>
      <c r="E293" s="19" t="s">
        <v>18</v>
      </c>
      <c r="F293" s="11">
        <v>43618</v>
      </c>
      <c r="G293" s="19">
        <v>7</v>
      </c>
      <c r="H293" s="19" t="s">
        <v>38</v>
      </c>
      <c r="I293" s="19" t="s">
        <v>20</v>
      </c>
      <c r="J293" s="1" t="s">
        <v>33</v>
      </c>
      <c r="K293" s="19">
        <v>3220</v>
      </c>
      <c r="L293" s="19">
        <v>38640</v>
      </c>
      <c r="M293" s="19">
        <v>5</v>
      </c>
      <c r="N293" s="19">
        <v>6</v>
      </c>
      <c r="O293" s="1">
        <v>0</v>
      </c>
      <c r="P293" s="19">
        <v>3</v>
      </c>
    </row>
    <row r="294" spans="1:16">
      <c r="A294" s="1">
        <v>293</v>
      </c>
      <c r="B294" s="1" t="s">
        <v>61</v>
      </c>
      <c r="C294" s="1" t="s">
        <v>471</v>
      </c>
      <c r="D294" s="1" t="str">
        <f>_xlfn.CONCAT(mmmm[[#This Row],[First Name]]," ",mmmm[[#This Row],[Last Name]])</f>
        <v>Alaa Alqasir</v>
      </c>
      <c r="E294" s="19" t="s">
        <v>18</v>
      </c>
      <c r="F294" s="11">
        <v>42473</v>
      </c>
      <c r="G294" s="19">
        <v>10</v>
      </c>
      <c r="H294" s="19" t="s">
        <v>31</v>
      </c>
      <c r="I294" s="19" t="s">
        <v>24</v>
      </c>
      <c r="J294" s="1" t="s">
        <v>33</v>
      </c>
      <c r="K294" s="19">
        <v>3061</v>
      </c>
      <c r="L294" s="19">
        <v>36732</v>
      </c>
      <c r="M294" s="19">
        <v>5</v>
      </c>
      <c r="N294" s="19">
        <v>0</v>
      </c>
      <c r="O294" s="1">
        <v>0</v>
      </c>
      <c r="P294" s="19">
        <v>3</v>
      </c>
    </row>
    <row r="295" spans="1:16">
      <c r="A295" s="1">
        <v>294</v>
      </c>
      <c r="B295" s="1" t="s">
        <v>265</v>
      </c>
      <c r="C295" s="1" t="s">
        <v>342</v>
      </c>
      <c r="D295" s="1" t="str">
        <f>_xlfn.CONCAT(mmmm[[#This Row],[First Name]]," ",mmmm[[#This Row],[Last Name]])</f>
        <v>Abd Alruhmin Salih</v>
      </c>
      <c r="E295" s="19" t="s">
        <v>18</v>
      </c>
      <c r="F295" s="11">
        <v>42973</v>
      </c>
      <c r="G295" s="19">
        <v>8</v>
      </c>
      <c r="H295" s="19" t="s">
        <v>78</v>
      </c>
      <c r="I295" s="19" t="s">
        <v>24</v>
      </c>
      <c r="J295" s="1" t="s">
        <v>39</v>
      </c>
      <c r="K295" s="19">
        <v>2221</v>
      </c>
      <c r="L295" s="19">
        <v>26652</v>
      </c>
      <c r="M295" s="19">
        <v>2</v>
      </c>
      <c r="N295" s="19">
        <v>0</v>
      </c>
      <c r="O295" s="1">
        <v>0</v>
      </c>
      <c r="P295" s="19">
        <v>1</v>
      </c>
    </row>
    <row r="296" spans="1:16">
      <c r="A296" s="1">
        <v>295</v>
      </c>
      <c r="B296" s="1" t="s">
        <v>472</v>
      </c>
      <c r="C296" s="1" t="s">
        <v>34</v>
      </c>
      <c r="D296" s="1" t="str">
        <f>_xlfn.CONCAT(mmmm[[#This Row],[First Name]]," ",mmmm[[#This Row],[Last Name]])</f>
        <v>Shilan Ahmad</v>
      </c>
      <c r="E296" s="19" t="s">
        <v>27</v>
      </c>
      <c r="F296" s="11">
        <v>42852</v>
      </c>
      <c r="G296" s="19">
        <v>9</v>
      </c>
      <c r="H296" s="19" t="s">
        <v>19</v>
      </c>
      <c r="I296" s="19" t="s">
        <v>24</v>
      </c>
      <c r="J296" s="1" t="s">
        <v>62</v>
      </c>
      <c r="K296" s="19">
        <v>1799</v>
      </c>
      <c r="L296" s="19">
        <v>21588</v>
      </c>
      <c r="M296" s="19">
        <v>4.5</v>
      </c>
      <c r="N296" s="19">
        <v>2</v>
      </c>
      <c r="O296" s="1">
        <v>0</v>
      </c>
      <c r="P296" s="19">
        <v>6</v>
      </c>
    </row>
    <row r="297" spans="1:16">
      <c r="A297" s="1">
        <v>296</v>
      </c>
      <c r="B297" s="1" t="s">
        <v>370</v>
      </c>
      <c r="C297" s="1" t="s">
        <v>473</v>
      </c>
      <c r="D297" s="1" t="str">
        <f>_xlfn.CONCAT(mmmm[[#This Row],[First Name]]," ",mmmm[[#This Row],[Last Name]])</f>
        <v>Hasan Aljasim</v>
      </c>
      <c r="E297" s="19" t="s">
        <v>18</v>
      </c>
      <c r="F297" s="11">
        <v>42879</v>
      </c>
      <c r="G297" s="19">
        <v>9</v>
      </c>
      <c r="H297" s="19" t="s">
        <v>44</v>
      </c>
      <c r="I297" s="19" t="s">
        <v>20</v>
      </c>
      <c r="J297" s="1" t="s">
        <v>62</v>
      </c>
      <c r="K297" s="19">
        <v>2082</v>
      </c>
      <c r="L297" s="19">
        <v>24984</v>
      </c>
      <c r="M297" s="19">
        <v>3</v>
      </c>
      <c r="N297" s="19">
        <v>0</v>
      </c>
      <c r="O297" s="1">
        <v>0</v>
      </c>
      <c r="P297" s="19">
        <v>1</v>
      </c>
    </row>
    <row r="298" spans="1:16">
      <c r="A298" s="1">
        <v>297</v>
      </c>
      <c r="B298" s="1" t="s">
        <v>292</v>
      </c>
      <c r="C298" s="1" t="s">
        <v>121</v>
      </c>
      <c r="D298" s="1" t="str">
        <f>_xlfn.CONCAT(mmmm[[#This Row],[First Name]]," ",mmmm[[#This Row],[Last Name]])</f>
        <v>Khalil Salam</v>
      </c>
      <c r="E298" s="19" t="s">
        <v>18</v>
      </c>
      <c r="F298" s="11">
        <v>42605</v>
      </c>
      <c r="G298" s="19">
        <v>9</v>
      </c>
      <c r="H298" s="19" t="s">
        <v>120</v>
      </c>
      <c r="I298" s="19" t="s">
        <v>32</v>
      </c>
      <c r="J298" s="1" t="s">
        <v>39</v>
      </c>
      <c r="K298" s="19">
        <v>1490</v>
      </c>
      <c r="L298" s="19">
        <v>17880</v>
      </c>
      <c r="M298" s="19">
        <v>4.5</v>
      </c>
      <c r="N298" s="19">
        <v>0</v>
      </c>
      <c r="O298" s="1">
        <v>2</v>
      </c>
      <c r="P298" s="19">
        <v>6</v>
      </c>
    </row>
    <row r="299" spans="1:16">
      <c r="A299" s="1">
        <v>298</v>
      </c>
      <c r="B299" s="1" t="s">
        <v>302</v>
      </c>
      <c r="C299" s="1" t="s">
        <v>474</v>
      </c>
      <c r="D299" s="1" t="str">
        <f>_xlfn.CONCAT(mmmm[[#This Row],[First Name]]," ",mmmm[[#This Row],[Last Name]])</f>
        <v>Majd Abuhamd</v>
      </c>
      <c r="E299" s="19" t="s">
        <v>27</v>
      </c>
      <c r="F299" s="11">
        <v>43905</v>
      </c>
      <c r="G299" s="19">
        <v>6</v>
      </c>
      <c r="H299" s="19" t="s">
        <v>44</v>
      </c>
      <c r="I299" s="19" t="s">
        <v>32</v>
      </c>
      <c r="J299" s="1" t="s">
        <v>39</v>
      </c>
      <c r="K299" s="19">
        <v>2042</v>
      </c>
      <c r="L299" s="19">
        <v>24504</v>
      </c>
      <c r="M299" s="19">
        <v>4.5</v>
      </c>
      <c r="N299" s="19">
        <v>0</v>
      </c>
      <c r="O299" s="1">
        <v>0</v>
      </c>
      <c r="P299" s="19">
        <v>10</v>
      </c>
    </row>
    <row r="300" spans="1:16">
      <c r="A300" s="1">
        <v>299</v>
      </c>
      <c r="B300" s="1" t="s">
        <v>118</v>
      </c>
      <c r="C300" s="1" t="s">
        <v>475</v>
      </c>
      <c r="D300" s="1" t="str">
        <f>_xlfn.CONCAT(mmmm[[#This Row],[First Name]]," ",mmmm[[#This Row],[Last Name]])</f>
        <v>Sami Qareush</v>
      </c>
      <c r="E300" s="19" t="s">
        <v>18</v>
      </c>
      <c r="F300" s="11">
        <v>42492</v>
      </c>
      <c r="G300" s="19">
        <v>10</v>
      </c>
      <c r="H300" s="19" t="s">
        <v>60</v>
      </c>
      <c r="I300" s="19" t="s">
        <v>50</v>
      </c>
      <c r="J300" s="1" t="s">
        <v>33</v>
      </c>
      <c r="K300" s="19">
        <v>985</v>
      </c>
      <c r="L300" s="19">
        <v>11820</v>
      </c>
      <c r="M300" s="19">
        <v>5</v>
      </c>
      <c r="N300" s="19">
        <v>1</v>
      </c>
      <c r="O300" s="1">
        <v>0</v>
      </c>
      <c r="P300" s="19">
        <v>5</v>
      </c>
    </row>
    <row r="301" spans="1:16">
      <c r="A301" s="1">
        <v>300</v>
      </c>
      <c r="B301" s="1" t="s">
        <v>101</v>
      </c>
      <c r="C301" s="1" t="s">
        <v>476</v>
      </c>
      <c r="D301" s="1" t="str">
        <f>_xlfn.CONCAT(mmmm[[#This Row],[First Name]]," ",mmmm[[#This Row],[Last Name]])</f>
        <v>Rima Jaridiun</v>
      </c>
      <c r="E301" s="19" t="s">
        <v>27</v>
      </c>
      <c r="F301" s="11">
        <v>42860</v>
      </c>
      <c r="G301" s="19">
        <v>9</v>
      </c>
      <c r="H301" s="19" t="s">
        <v>42</v>
      </c>
      <c r="I301" s="19" t="s">
        <v>20</v>
      </c>
      <c r="J301" s="1" t="s">
        <v>39</v>
      </c>
      <c r="K301" s="19">
        <v>1988</v>
      </c>
      <c r="L301" s="19">
        <v>23856</v>
      </c>
      <c r="M301" s="19">
        <v>3</v>
      </c>
      <c r="N301" s="19">
        <v>0</v>
      </c>
      <c r="O301" s="1">
        <v>0</v>
      </c>
      <c r="P301" s="19">
        <v>7</v>
      </c>
    </row>
    <row r="302" spans="1:16">
      <c r="A302" s="1">
        <v>301</v>
      </c>
      <c r="B302" s="1" t="s">
        <v>40</v>
      </c>
      <c r="C302" s="1" t="s">
        <v>477</v>
      </c>
      <c r="D302" s="1" t="str">
        <f>_xlfn.CONCAT(mmmm[[#This Row],[First Name]]," ",mmmm[[#This Row],[Last Name]])</f>
        <v>Iin Alhumwi</v>
      </c>
      <c r="E302" s="19" t="s">
        <v>27</v>
      </c>
      <c r="F302" s="11">
        <v>43286</v>
      </c>
      <c r="G302" s="19">
        <v>8</v>
      </c>
      <c r="H302" s="19" t="s">
        <v>44</v>
      </c>
      <c r="I302" s="19" t="s">
        <v>24</v>
      </c>
      <c r="J302" s="1" t="s">
        <v>62</v>
      </c>
      <c r="K302" s="19">
        <v>1545</v>
      </c>
      <c r="L302" s="19">
        <v>18540</v>
      </c>
      <c r="M302" s="19">
        <v>5</v>
      </c>
      <c r="N302" s="19">
        <v>1</v>
      </c>
      <c r="O302" s="1">
        <v>0</v>
      </c>
      <c r="P302" s="19">
        <v>1</v>
      </c>
    </row>
    <row r="303" spans="1:16">
      <c r="A303" s="1">
        <v>302</v>
      </c>
      <c r="B303" s="1" t="s">
        <v>478</v>
      </c>
      <c r="C303" s="1" t="s">
        <v>479</v>
      </c>
      <c r="D303" s="1" t="str">
        <f>_xlfn.CONCAT(mmmm[[#This Row],[First Name]]," ",mmmm[[#This Row],[Last Name]])</f>
        <v>Akthum Eibdalbaqi</v>
      </c>
      <c r="E303" s="19" t="s">
        <v>18</v>
      </c>
      <c r="F303" s="11">
        <v>44016</v>
      </c>
      <c r="G303" s="19">
        <v>6</v>
      </c>
      <c r="H303" s="19" t="s">
        <v>78</v>
      </c>
      <c r="I303" s="19" t="s">
        <v>20</v>
      </c>
      <c r="J303" s="1" t="s">
        <v>33</v>
      </c>
      <c r="K303" s="19">
        <v>2637</v>
      </c>
      <c r="L303" s="19">
        <v>31644</v>
      </c>
      <c r="M303" s="19">
        <v>5</v>
      </c>
      <c r="N303" s="19">
        <v>0</v>
      </c>
      <c r="O303" s="1">
        <v>0</v>
      </c>
      <c r="P303" s="19">
        <v>50</v>
      </c>
    </row>
    <row r="304" spans="1:16">
      <c r="A304" s="1">
        <v>303</v>
      </c>
      <c r="B304" s="1" t="s">
        <v>36</v>
      </c>
      <c r="C304" s="1" t="s">
        <v>480</v>
      </c>
      <c r="D304" s="1" t="str">
        <f>_xlfn.CONCAT(mmmm[[#This Row],[First Name]]," ",mmmm[[#This Row],[Last Name]])</f>
        <v>Muhamad Almurashihi</v>
      </c>
      <c r="E304" s="19" t="s">
        <v>18</v>
      </c>
      <c r="F304" s="11">
        <v>43810</v>
      </c>
      <c r="G304" s="19">
        <v>6</v>
      </c>
      <c r="H304" s="19" t="s">
        <v>31</v>
      </c>
      <c r="I304" s="19" t="s">
        <v>24</v>
      </c>
      <c r="J304" s="1" t="s">
        <v>39</v>
      </c>
      <c r="K304" s="19">
        <v>1385</v>
      </c>
      <c r="L304" s="19">
        <v>16620</v>
      </c>
      <c r="M304" s="19">
        <v>4.5</v>
      </c>
      <c r="N304" s="19">
        <v>0</v>
      </c>
      <c r="O304" s="1">
        <v>0</v>
      </c>
      <c r="P304" s="19">
        <v>6</v>
      </c>
    </row>
    <row r="305" spans="1:16">
      <c r="A305" s="1">
        <v>304</v>
      </c>
      <c r="B305" s="1" t="s">
        <v>481</v>
      </c>
      <c r="C305" s="1" t="s">
        <v>482</v>
      </c>
      <c r="D305" s="1" t="str">
        <f>_xlfn.CONCAT(mmmm[[#This Row],[First Name]]," ",mmmm[[#This Row],[Last Name]])</f>
        <v>Batual Abu Fakhar</v>
      </c>
      <c r="E305" s="19" t="s">
        <v>27</v>
      </c>
      <c r="F305" s="11">
        <v>43136</v>
      </c>
      <c r="G305" s="19">
        <v>8</v>
      </c>
      <c r="H305" s="19" t="s">
        <v>31</v>
      </c>
      <c r="I305" s="19" t="s">
        <v>32</v>
      </c>
      <c r="J305" s="1" t="s">
        <v>62</v>
      </c>
      <c r="K305" s="19">
        <v>2468</v>
      </c>
      <c r="L305" s="19">
        <v>29616</v>
      </c>
      <c r="M305" s="19">
        <v>1</v>
      </c>
      <c r="N305" s="19">
        <v>4</v>
      </c>
      <c r="O305" s="1">
        <v>0</v>
      </c>
      <c r="P305" s="19">
        <v>3</v>
      </c>
    </row>
    <row r="306" spans="1:16">
      <c r="A306" s="1">
        <v>305</v>
      </c>
      <c r="B306" s="1" t="s">
        <v>483</v>
      </c>
      <c r="C306" s="1" t="s">
        <v>484</v>
      </c>
      <c r="D306" s="1" t="str">
        <f>_xlfn.CONCAT(mmmm[[#This Row],[First Name]]," ",mmmm[[#This Row],[Last Name]])</f>
        <v>Rinah Alkhuriu</v>
      </c>
      <c r="E306" s="19" t="s">
        <v>27</v>
      </c>
      <c r="F306" s="11">
        <v>43280</v>
      </c>
      <c r="G306" s="19">
        <v>8</v>
      </c>
      <c r="H306" s="19" t="s">
        <v>90</v>
      </c>
      <c r="I306" s="19" t="s">
        <v>50</v>
      </c>
      <c r="J306" s="1" t="s">
        <v>33</v>
      </c>
      <c r="K306" s="19">
        <v>2098</v>
      </c>
      <c r="L306" s="19">
        <v>25176</v>
      </c>
      <c r="M306" s="19">
        <v>4.5</v>
      </c>
      <c r="N306" s="19">
        <v>0</v>
      </c>
      <c r="O306" s="1">
        <v>0</v>
      </c>
      <c r="P306" s="19">
        <v>3</v>
      </c>
    </row>
    <row r="307" spans="1:16">
      <c r="A307" s="1">
        <v>306</v>
      </c>
      <c r="B307" s="1" t="s">
        <v>36</v>
      </c>
      <c r="C307" s="1" t="s">
        <v>485</v>
      </c>
      <c r="D307" s="1" t="str">
        <f>_xlfn.CONCAT(mmmm[[#This Row],[First Name]]," ",mmmm[[#This Row],[Last Name]])</f>
        <v>Muhamad Alsaqaraq</v>
      </c>
      <c r="E307" s="19" t="s">
        <v>18</v>
      </c>
      <c r="F307" s="11">
        <v>43607</v>
      </c>
      <c r="G307" s="19">
        <v>7</v>
      </c>
      <c r="H307" s="19" t="s">
        <v>60</v>
      </c>
      <c r="I307" s="19" t="s">
        <v>32</v>
      </c>
      <c r="J307" s="1" t="s">
        <v>33</v>
      </c>
      <c r="K307" s="19">
        <v>2302</v>
      </c>
      <c r="L307" s="19">
        <v>27624</v>
      </c>
      <c r="M307" s="19">
        <v>3</v>
      </c>
      <c r="N307" s="19">
        <v>6</v>
      </c>
      <c r="O307" s="1">
        <v>0</v>
      </c>
      <c r="P307" s="19">
        <v>6</v>
      </c>
    </row>
    <row r="308" spans="1:16">
      <c r="A308" s="1">
        <v>307</v>
      </c>
      <c r="B308" s="1" t="s">
        <v>328</v>
      </c>
      <c r="C308" s="1" t="s">
        <v>486</v>
      </c>
      <c r="D308" s="1" t="str">
        <f>_xlfn.CONCAT(mmmm[[#This Row],[First Name]]," ",mmmm[[#This Row],[Last Name]])</f>
        <v>Diea Sharina</v>
      </c>
      <c r="E308" s="19" t="s">
        <v>18</v>
      </c>
      <c r="F308" s="11">
        <v>43565</v>
      </c>
      <c r="G308" s="19">
        <v>7</v>
      </c>
      <c r="H308" s="19" t="s">
        <v>55</v>
      </c>
      <c r="I308" s="19" t="s">
        <v>20</v>
      </c>
      <c r="J308" s="1" t="s">
        <v>33</v>
      </c>
      <c r="K308" s="19">
        <v>1623</v>
      </c>
      <c r="L308" s="19">
        <v>19476</v>
      </c>
      <c r="M308" s="19">
        <v>1</v>
      </c>
      <c r="N308" s="19">
        <v>6</v>
      </c>
      <c r="O308" s="1">
        <v>0</v>
      </c>
      <c r="P308" s="19">
        <v>4</v>
      </c>
    </row>
    <row r="309" spans="1:16">
      <c r="A309" s="1">
        <v>308</v>
      </c>
      <c r="B309" s="1" t="s">
        <v>487</v>
      </c>
      <c r="C309" s="1" t="s">
        <v>488</v>
      </c>
      <c r="D309" s="1" t="str">
        <f>_xlfn.CONCAT(mmmm[[#This Row],[First Name]]," ",mmmm[[#This Row],[Last Name]])</f>
        <v>Jablah Alsulayman</v>
      </c>
      <c r="E309" s="19" t="s">
        <v>27</v>
      </c>
      <c r="F309" s="11">
        <v>43537</v>
      </c>
      <c r="G309" s="19">
        <v>7</v>
      </c>
      <c r="H309" s="19" t="s">
        <v>79</v>
      </c>
      <c r="I309" s="19" t="s">
        <v>296</v>
      </c>
      <c r="J309" s="1" t="s">
        <v>33</v>
      </c>
      <c r="K309" s="19">
        <v>1333</v>
      </c>
      <c r="L309" s="19">
        <v>15996</v>
      </c>
      <c r="M309" s="19">
        <v>3</v>
      </c>
      <c r="N309" s="19">
        <v>1</v>
      </c>
      <c r="O309" s="1">
        <v>6</v>
      </c>
      <c r="P309" s="19">
        <v>10</v>
      </c>
    </row>
    <row r="310" spans="1:16">
      <c r="A310" s="1">
        <v>309</v>
      </c>
      <c r="B310" s="1" t="s">
        <v>36</v>
      </c>
      <c r="C310" s="1" t="s">
        <v>489</v>
      </c>
      <c r="D310" s="1" t="str">
        <f>_xlfn.CONCAT(mmmm[[#This Row],[First Name]]," ",mmmm[[#This Row],[Last Name]])</f>
        <v>Muhamad Almaghribiu</v>
      </c>
      <c r="E310" s="19" t="s">
        <v>18</v>
      </c>
      <c r="F310" s="11">
        <v>42692</v>
      </c>
      <c r="G310" s="19">
        <v>9</v>
      </c>
      <c r="H310" s="19" t="s">
        <v>19</v>
      </c>
      <c r="I310" s="19" t="s">
        <v>32</v>
      </c>
      <c r="J310" s="1" t="s">
        <v>33</v>
      </c>
      <c r="K310" s="19">
        <v>1431</v>
      </c>
      <c r="L310" s="19">
        <v>17172</v>
      </c>
      <c r="M310" s="19">
        <v>5</v>
      </c>
      <c r="N310" s="19">
        <v>0</v>
      </c>
      <c r="O310" s="1">
        <v>0</v>
      </c>
      <c r="P310" s="19">
        <v>4</v>
      </c>
    </row>
    <row r="311" spans="1:16">
      <c r="A311" s="1">
        <v>310</v>
      </c>
      <c r="B311" s="1" t="s">
        <v>490</v>
      </c>
      <c r="C311" s="1" t="s">
        <v>491</v>
      </c>
      <c r="D311" s="1" t="str">
        <f>_xlfn.CONCAT(mmmm[[#This Row],[First Name]]," ",mmmm[[#This Row],[Last Name]])</f>
        <v>Kholoud Khayti</v>
      </c>
      <c r="E311" s="19" t="s">
        <v>27</v>
      </c>
      <c r="F311" s="11">
        <v>43823</v>
      </c>
      <c r="G311" s="19">
        <v>6</v>
      </c>
      <c r="H311" s="19" t="s">
        <v>31</v>
      </c>
      <c r="I311" s="19" t="s">
        <v>20</v>
      </c>
      <c r="J311" s="1" t="s">
        <v>21</v>
      </c>
      <c r="K311" s="19">
        <v>2527</v>
      </c>
      <c r="L311" s="19">
        <v>30324</v>
      </c>
      <c r="M311" s="19">
        <v>3</v>
      </c>
      <c r="N311" s="19">
        <v>0</v>
      </c>
      <c r="O311" s="1">
        <v>0</v>
      </c>
      <c r="P311" s="19">
        <v>98</v>
      </c>
    </row>
    <row r="312" spans="1:16">
      <c r="A312" s="1">
        <v>311</v>
      </c>
      <c r="B312" s="1" t="s">
        <v>311</v>
      </c>
      <c r="C312" s="1" t="s">
        <v>492</v>
      </c>
      <c r="D312" s="1" t="str">
        <f>_xlfn.CONCAT(mmmm[[#This Row],[First Name]]," ",mmmm[[#This Row],[Last Name]])</f>
        <v>Rahaf Jamul</v>
      </c>
      <c r="E312" s="19" t="s">
        <v>27</v>
      </c>
      <c r="F312" s="11">
        <v>42772</v>
      </c>
      <c r="G312" s="19">
        <v>9</v>
      </c>
      <c r="H312" s="19" t="s">
        <v>31</v>
      </c>
      <c r="I312" s="19" t="s">
        <v>20</v>
      </c>
      <c r="J312" s="1" t="s">
        <v>62</v>
      </c>
      <c r="K312" s="19">
        <v>2631</v>
      </c>
      <c r="L312" s="19">
        <v>31572</v>
      </c>
      <c r="M312" s="19">
        <v>3</v>
      </c>
      <c r="N312" s="19">
        <v>0</v>
      </c>
      <c r="O312" s="1">
        <v>0</v>
      </c>
      <c r="P312" s="19">
        <v>7</v>
      </c>
    </row>
    <row r="313" spans="1:16">
      <c r="A313" s="1">
        <v>312</v>
      </c>
      <c r="B313" s="1" t="s">
        <v>129</v>
      </c>
      <c r="C313" s="1" t="s">
        <v>493</v>
      </c>
      <c r="D313" s="1" t="str">
        <f>_xlfn.CONCAT(mmmm[[#This Row],[First Name]]," ",mmmm[[#This Row],[Last Name]])</f>
        <v>Faras Alrahil</v>
      </c>
      <c r="E313" s="19" t="s">
        <v>18</v>
      </c>
      <c r="F313" s="11">
        <v>43171</v>
      </c>
      <c r="G313" s="19">
        <v>8</v>
      </c>
      <c r="H313" s="19" t="s">
        <v>60</v>
      </c>
      <c r="I313" s="19" t="s">
        <v>20</v>
      </c>
      <c r="J313" s="1" t="s">
        <v>21</v>
      </c>
      <c r="K313" s="19">
        <v>1600</v>
      </c>
      <c r="L313" s="19">
        <v>19200</v>
      </c>
      <c r="M313" s="19">
        <v>4.5</v>
      </c>
      <c r="N313" s="19">
        <v>0</v>
      </c>
      <c r="O313" s="1">
        <v>0</v>
      </c>
      <c r="P313" s="19">
        <v>0</v>
      </c>
    </row>
    <row r="314" spans="1:16">
      <c r="A314" s="1">
        <v>313</v>
      </c>
      <c r="B314" s="1" t="s">
        <v>494</v>
      </c>
      <c r="C314" s="1" t="s">
        <v>495</v>
      </c>
      <c r="D314" s="1" t="str">
        <f>_xlfn.CONCAT(mmmm[[#This Row],[First Name]]," ",mmmm[[#This Row],[Last Name]])</f>
        <v>Abd Alrazzaq Gharah</v>
      </c>
      <c r="E314" s="19" t="s">
        <v>18</v>
      </c>
      <c r="F314" s="11">
        <v>44181</v>
      </c>
      <c r="G314" s="19">
        <v>5</v>
      </c>
      <c r="H314" s="19" t="s">
        <v>95</v>
      </c>
      <c r="I314" s="19" t="s">
        <v>20</v>
      </c>
      <c r="J314" s="1" t="s">
        <v>33</v>
      </c>
      <c r="K314" s="19">
        <v>2752</v>
      </c>
      <c r="L314" s="19">
        <v>33024</v>
      </c>
      <c r="M314" s="19">
        <v>5</v>
      </c>
      <c r="N314" s="19">
        <v>0</v>
      </c>
      <c r="O314" s="1">
        <v>0</v>
      </c>
      <c r="P314" s="19">
        <v>4</v>
      </c>
    </row>
    <row r="315" spans="1:16">
      <c r="A315" s="1">
        <v>314</v>
      </c>
      <c r="B315" s="1" t="s">
        <v>61</v>
      </c>
      <c r="C315" s="1" t="s">
        <v>345</v>
      </c>
      <c r="D315" s="1" t="str">
        <f>_xlfn.CONCAT(mmmm[[#This Row],[First Name]]," ",mmmm[[#This Row],[Last Name]])</f>
        <v>Alaa Saed</v>
      </c>
      <c r="E315" s="19" t="s">
        <v>27</v>
      </c>
      <c r="F315" s="11">
        <v>43998</v>
      </c>
      <c r="G315" s="19">
        <v>6</v>
      </c>
      <c r="H315" s="19" t="s">
        <v>19</v>
      </c>
      <c r="I315" s="19" t="s">
        <v>20</v>
      </c>
      <c r="J315" s="1" t="s">
        <v>33</v>
      </c>
      <c r="K315" s="19">
        <v>3125</v>
      </c>
      <c r="L315" s="19">
        <v>37500</v>
      </c>
      <c r="M315" s="19">
        <v>5</v>
      </c>
      <c r="N315" s="19">
        <v>0</v>
      </c>
      <c r="O315" s="1">
        <v>0</v>
      </c>
      <c r="P315" s="19">
        <v>5</v>
      </c>
    </row>
    <row r="316" spans="1:16">
      <c r="A316" s="1">
        <v>315</v>
      </c>
      <c r="B316" s="1" t="s">
        <v>496</v>
      </c>
      <c r="C316" s="1" t="s">
        <v>497</v>
      </c>
      <c r="D316" s="1" t="str">
        <f>_xlfn.CONCAT(mmmm[[#This Row],[First Name]]," ",mmmm[[#This Row],[Last Name]])</f>
        <v>Lylas Shiah</v>
      </c>
      <c r="E316" s="19" t="s">
        <v>27</v>
      </c>
      <c r="F316" s="11">
        <v>43648</v>
      </c>
      <c r="G316" s="19">
        <v>7</v>
      </c>
      <c r="H316" s="19" t="s">
        <v>52</v>
      </c>
      <c r="I316" s="19" t="s">
        <v>24</v>
      </c>
      <c r="J316" s="1" t="s">
        <v>21</v>
      </c>
      <c r="K316" s="19">
        <v>2091</v>
      </c>
      <c r="L316" s="19">
        <v>25092</v>
      </c>
      <c r="M316" s="19">
        <v>2</v>
      </c>
      <c r="N316" s="19">
        <v>0</v>
      </c>
      <c r="O316" s="1">
        <v>1</v>
      </c>
      <c r="P316" s="19">
        <v>9</v>
      </c>
    </row>
    <row r="317" spans="1:16">
      <c r="A317" s="1">
        <v>316</v>
      </c>
      <c r="B317" s="1" t="s">
        <v>498</v>
      </c>
      <c r="C317" s="1" t="s">
        <v>499</v>
      </c>
      <c r="D317" s="1" t="str">
        <f>_xlfn.CONCAT(mmmm[[#This Row],[First Name]]," ",mmmm[[#This Row],[Last Name]])</f>
        <v>Kinda Alaqre</v>
      </c>
      <c r="E317" s="19" t="s">
        <v>27</v>
      </c>
      <c r="F317" s="11">
        <v>42726</v>
      </c>
      <c r="G317" s="19">
        <v>9</v>
      </c>
      <c r="H317" s="19" t="s">
        <v>60</v>
      </c>
      <c r="I317" s="19" t="s">
        <v>32</v>
      </c>
      <c r="J317" s="1" t="s">
        <v>33</v>
      </c>
      <c r="K317" s="19">
        <v>1009</v>
      </c>
      <c r="L317" s="19">
        <v>12108</v>
      </c>
      <c r="M317" s="19">
        <v>4.5</v>
      </c>
      <c r="N317" s="19">
        <v>0</v>
      </c>
      <c r="O317" s="1">
        <v>0</v>
      </c>
      <c r="P317" s="19">
        <v>17</v>
      </c>
    </row>
    <row r="318" spans="1:16">
      <c r="A318" s="1">
        <v>317</v>
      </c>
      <c r="B318" s="1" t="s">
        <v>36</v>
      </c>
      <c r="C318" s="1" t="s">
        <v>144</v>
      </c>
      <c r="D318" s="1" t="str">
        <f>_xlfn.CONCAT(mmmm[[#This Row],[First Name]]," ",mmmm[[#This Row],[Last Name]])</f>
        <v>Muhamad Almisri</v>
      </c>
      <c r="E318" s="19" t="s">
        <v>18</v>
      </c>
      <c r="F318" s="11">
        <v>44115</v>
      </c>
      <c r="G318" s="19">
        <v>5</v>
      </c>
      <c r="H318" s="19" t="s">
        <v>19</v>
      </c>
      <c r="I318" s="19" t="s">
        <v>24</v>
      </c>
      <c r="J318" s="1" t="s">
        <v>33</v>
      </c>
      <c r="K318" s="19">
        <v>3443</v>
      </c>
      <c r="L318" s="19">
        <v>41316</v>
      </c>
      <c r="M318" s="19">
        <v>1</v>
      </c>
      <c r="N318" s="19">
        <v>0</v>
      </c>
      <c r="O318" s="1">
        <v>0</v>
      </c>
      <c r="P318" s="19">
        <v>1</v>
      </c>
    </row>
    <row r="319" spans="1:16">
      <c r="A319" s="1">
        <v>318</v>
      </c>
      <c r="B319" s="1" t="s">
        <v>500</v>
      </c>
      <c r="C319" s="1" t="s">
        <v>501</v>
      </c>
      <c r="D319" s="1" t="str">
        <f>_xlfn.CONCAT(mmmm[[#This Row],[First Name]]," ",mmmm[[#This Row],[Last Name]])</f>
        <v>Dinana Zaydan</v>
      </c>
      <c r="E319" s="19" t="s">
        <v>27</v>
      </c>
      <c r="F319" s="11">
        <v>43182</v>
      </c>
      <c r="G319" s="19">
        <v>8</v>
      </c>
      <c r="H319" s="19" t="s">
        <v>31</v>
      </c>
      <c r="I319" s="19" t="s">
        <v>50</v>
      </c>
      <c r="J319" s="1" t="s">
        <v>21</v>
      </c>
      <c r="K319" s="19">
        <v>1582</v>
      </c>
      <c r="L319" s="19">
        <v>18984</v>
      </c>
      <c r="M319" s="19">
        <v>4.5</v>
      </c>
      <c r="N319" s="19">
        <v>0</v>
      </c>
      <c r="O319" s="1">
        <v>0</v>
      </c>
      <c r="P319" s="19">
        <v>5</v>
      </c>
    </row>
    <row r="320" spans="1:16">
      <c r="A320" s="1">
        <v>319</v>
      </c>
      <c r="B320" s="1" t="s">
        <v>502</v>
      </c>
      <c r="C320" s="1" t="s">
        <v>503</v>
      </c>
      <c r="D320" s="1" t="str">
        <f>_xlfn.CONCAT(mmmm[[#This Row],[First Name]]," ",mmmm[[#This Row],[Last Name]])</f>
        <v>Amyrah Mudinih</v>
      </c>
      <c r="E320" s="19" t="s">
        <v>27</v>
      </c>
      <c r="F320" s="11">
        <v>43528</v>
      </c>
      <c r="G320" s="19">
        <v>7</v>
      </c>
      <c r="H320" s="19" t="s">
        <v>60</v>
      </c>
      <c r="I320" s="19" t="s">
        <v>32</v>
      </c>
      <c r="J320" s="1" t="s">
        <v>39</v>
      </c>
      <c r="K320" s="19">
        <v>2103</v>
      </c>
      <c r="L320" s="19">
        <v>25236</v>
      </c>
      <c r="M320" s="19">
        <v>5</v>
      </c>
      <c r="N320" s="19">
        <v>1</v>
      </c>
      <c r="O320" s="1">
        <v>1</v>
      </c>
      <c r="P320" s="19">
        <v>2</v>
      </c>
    </row>
    <row r="321" spans="1:16">
      <c r="A321" s="1">
        <v>320</v>
      </c>
      <c r="B321" s="1" t="s">
        <v>504</v>
      </c>
      <c r="C321" s="1" t="s">
        <v>505</v>
      </c>
      <c r="D321" s="1" t="str">
        <f>_xlfn.CONCAT(mmmm[[#This Row],[First Name]]," ",mmmm[[#This Row],[Last Name]])</f>
        <v>Safa AlAhmar</v>
      </c>
      <c r="E321" s="19" t="s">
        <v>27</v>
      </c>
      <c r="F321" s="11">
        <v>43106</v>
      </c>
      <c r="G321" s="19">
        <v>8</v>
      </c>
      <c r="H321" s="19" t="s">
        <v>95</v>
      </c>
      <c r="I321" s="19" t="s">
        <v>20</v>
      </c>
      <c r="J321" s="1" t="s">
        <v>33</v>
      </c>
      <c r="K321" s="19">
        <v>3108</v>
      </c>
      <c r="L321" s="19">
        <v>37296</v>
      </c>
      <c r="M321" s="19">
        <v>1</v>
      </c>
      <c r="N321" s="19">
        <v>0</v>
      </c>
      <c r="O321" s="1">
        <v>0</v>
      </c>
      <c r="P321" s="19">
        <v>45</v>
      </c>
    </row>
    <row r="322" spans="1:16">
      <c r="A322" s="1">
        <v>321</v>
      </c>
      <c r="B322" s="1" t="s">
        <v>34</v>
      </c>
      <c r="C322" s="1" t="s">
        <v>506</v>
      </c>
      <c r="D322" s="1" t="str">
        <f>_xlfn.CONCAT(mmmm[[#This Row],[First Name]]," ",mmmm[[#This Row],[Last Name]])</f>
        <v>Ahmad Eurman</v>
      </c>
      <c r="E322" s="19" t="s">
        <v>18</v>
      </c>
      <c r="F322" s="11">
        <v>42601</v>
      </c>
      <c r="G322" s="19">
        <v>9</v>
      </c>
      <c r="H322" s="19" t="s">
        <v>31</v>
      </c>
      <c r="I322" s="19" t="s">
        <v>20</v>
      </c>
      <c r="J322" s="1" t="s">
        <v>33</v>
      </c>
      <c r="K322" s="19">
        <v>1810</v>
      </c>
      <c r="L322" s="19">
        <v>21720</v>
      </c>
      <c r="M322" s="19">
        <v>3</v>
      </c>
      <c r="N322" s="19">
        <v>0</v>
      </c>
      <c r="O322" s="1">
        <v>0</v>
      </c>
      <c r="P322" s="19">
        <v>5</v>
      </c>
    </row>
    <row r="323" spans="1:16">
      <c r="A323" s="1">
        <v>322</v>
      </c>
      <c r="B323" s="1" t="s">
        <v>507</v>
      </c>
      <c r="C323" s="1" t="s">
        <v>508</v>
      </c>
      <c r="D323" s="1" t="str">
        <f>_xlfn.CONCAT(mmmm[[#This Row],[First Name]]," ",mmmm[[#This Row],[Last Name]])</f>
        <v>Abd Allah Almawsiliu</v>
      </c>
      <c r="E323" s="19" t="s">
        <v>18</v>
      </c>
      <c r="F323" s="11">
        <v>43322</v>
      </c>
      <c r="G323" s="19">
        <v>7</v>
      </c>
      <c r="H323" s="19" t="s">
        <v>120</v>
      </c>
      <c r="I323" s="19" t="s">
        <v>24</v>
      </c>
      <c r="J323" s="1" t="s">
        <v>21</v>
      </c>
      <c r="K323" s="19">
        <v>2312</v>
      </c>
      <c r="L323" s="19">
        <v>27744</v>
      </c>
      <c r="M323" s="19">
        <v>3</v>
      </c>
      <c r="N323" s="19">
        <v>3</v>
      </c>
      <c r="O323" s="1">
        <v>0</v>
      </c>
      <c r="P323" s="19">
        <v>10</v>
      </c>
    </row>
    <row r="324" spans="1:16">
      <c r="A324" s="1">
        <v>323</v>
      </c>
      <c r="B324" s="1" t="s">
        <v>302</v>
      </c>
      <c r="C324" s="1" t="s">
        <v>375</v>
      </c>
      <c r="D324" s="1" t="str">
        <f>_xlfn.CONCAT(mmmm[[#This Row],[First Name]]," ",mmmm[[#This Row],[Last Name]])</f>
        <v>Majd Eisaa</v>
      </c>
      <c r="E324" s="19" t="s">
        <v>27</v>
      </c>
      <c r="F324" s="11">
        <v>43993</v>
      </c>
      <c r="G324" s="19">
        <v>6</v>
      </c>
      <c r="H324" s="19" t="s">
        <v>55</v>
      </c>
      <c r="I324" s="19" t="s">
        <v>20</v>
      </c>
      <c r="J324" s="1" t="s">
        <v>33</v>
      </c>
      <c r="K324" s="19">
        <v>2783</v>
      </c>
      <c r="L324" s="19">
        <v>33396</v>
      </c>
      <c r="M324" s="19">
        <v>1</v>
      </c>
      <c r="N324" s="19">
        <v>2</v>
      </c>
      <c r="O324" s="1">
        <v>0</v>
      </c>
      <c r="P324" s="19">
        <v>15</v>
      </c>
    </row>
    <row r="325" spans="1:16">
      <c r="A325" s="1">
        <v>324</v>
      </c>
      <c r="B325" s="1" t="s">
        <v>36</v>
      </c>
      <c r="C325" s="1" t="s">
        <v>509</v>
      </c>
      <c r="D325" s="1" t="str">
        <f>_xlfn.CONCAT(mmmm[[#This Row],[First Name]]," ",mmmm[[#This Row],[Last Name]])</f>
        <v>Muhamad Salhany</v>
      </c>
      <c r="E325" s="19" t="s">
        <v>18</v>
      </c>
      <c r="F325" s="11">
        <v>44167</v>
      </c>
      <c r="G325" s="19">
        <v>5</v>
      </c>
      <c r="H325" s="19" t="s">
        <v>19</v>
      </c>
      <c r="I325" s="19" t="s">
        <v>20</v>
      </c>
      <c r="J325" s="1" t="s">
        <v>33</v>
      </c>
      <c r="K325" s="19">
        <v>3428</v>
      </c>
      <c r="L325" s="19">
        <v>41136</v>
      </c>
      <c r="M325" s="19">
        <v>3</v>
      </c>
      <c r="N325" s="19">
        <v>5</v>
      </c>
      <c r="O325" s="1">
        <v>0</v>
      </c>
      <c r="P325" s="19">
        <v>10</v>
      </c>
    </row>
    <row r="326" spans="1:16">
      <c r="A326" s="1">
        <v>325</v>
      </c>
      <c r="B326" s="1" t="s">
        <v>510</v>
      </c>
      <c r="C326" s="1" t="s">
        <v>200</v>
      </c>
      <c r="D326" s="1" t="str">
        <f>_xlfn.CONCAT(mmmm[[#This Row],[First Name]]," ",mmmm[[#This Row],[Last Name]])</f>
        <v>Ashraf Aleid</v>
      </c>
      <c r="E326" s="19" t="s">
        <v>18</v>
      </c>
      <c r="F326" s="11">
        <v>43136</v>
      </c>
      <c r="G326" s="19">
        <v>8</v>
      </c>
      <c r="H326" s="19" t="s">
        <v>44</v>
      </c>
      <c r="I326" s="19" t="s">
        <v>20</v>
      </c>
      <c r="J326" s="1" t="s">
        <v>39</v>
      </c>
      <c r="K326" s="19">
        <v>3450</v>
      </c>
      <c r="L326" s="19">
        <v>41400</v>
      </c>
      <c r="M326" s="19">
        <v>2</v>
      </c>
      <c r="N326" s="19">
        <v>0</v>
      </c>
      <c r="O326" s="1">
        <v>4</v>
      </c>
      <c r="P326" s="19">
        <v>9</v>
      </c>
    </row>
    <row r="327" spans="1:16">
      <c r="A327" s="1">
        <v>326</v>
      </c>
      <c r="B327" s="1" t="s">
        <v>36</v>
      </c>
      <c r="C327" s="1" t="s">
        <v>511</v>
      </c>
      <c r="D327" s="1" t="str">
        <f>_xlfn.CONCAT(mmmm[[#This Row],[First Name]]," ",mmmm[[#This Row],[Last Name]])</f>
        <v>Muhamad Shadi Alghazy</v>
      </c>
      <c r="E327" s="19" t="s">
        <v>18</v>
      </c>
      <c r="F327" s="11">
        <v>43362</v>
      </c>
      <c r="G327" s="19">
        <v>7</v>
      </c>
      <c r="H327" s="19" t="s">
        <v>354</v>
      </c>
      <c r="I327" s="19" t="s">
        <v>32</v>
      </c>
      <c r="J327" s="1" t="s">
        <v>33</v>
      </c>
      <c r="K327" s="19">
        <v>1226</v>
      </c>
      <c r="L327" s="19">
        <v>14712</v>
      </c>
      <c r="M327" s="19">
        <v>2</v>
      </c>
      <c r="N327" s="19">
        <v>6</v>
      </c>
      <c r="O327" s="1">
        <v>5</v>
      </c>
      <c r="P327" s="19">
        <v>4</v>
      </c>
    </row>
    <row r="328" spans="1:16">
      <c r="A328" s="1">
        <v>327</v>
      </c>
      <c r="B328" s="1" t="s">
        <v>36</v>
      </c>
      <c r="C328" s="1" t="s">
        <v>66</v>
      </c>
      <c r="D328" s="1" t="str">
        <f>_xlfn.CONCAT(mmmm[[#This Row],[First Name]]," ",mmmm[[#This Row],[Last Name]])</f>
        <v>Muhamad Husayn</v>
      </c>
      <c r="E328" s="19" t="s">
        <v>18</v>
      </c>
      <c r="F328" s="11">
        <v>43707</v>
      </c>
      <c r="G328" s="19">
        <v>6</v>
      </c>
      <c r="H328" s="19" t="s">
        <v>79</v>
      </c>
      <c r="I328" s="19" t="s">
        <v>20</v>
      </c>
      <c r="J328" s="1" t="s">
        <v>39</v>
      </c>
      <c r="K328" s="19">
        <v>3219</v>
      </c>
      <c r="L328" s="19">
        <v>38628</v>
      </c>
      <c r="M328" s="19">
        <v>3</v>
      </c>
      <c r="N328" s="19">
        <v>0</v>
      </c>
      <c r="O328" s="1">
        <v>0</v>
      </c>
      <c r="P328" s="19">
        <v>5</v>
      </c>
    </row>
    <row r="329" spans="1:16">
      <c r="A329" s="1">
        <v>328</v>
      </c>
      <c r="B329" s="1" t="s">
        <v>172</v>
      </c>
      <c r="C329" s="1" t="s">
        <v>512</v>
      </c>
      <c r="D329" s="1" t="str">
        <f>_xlfn.CONCAT(mmmm[[#This Row],[First Name]]," ",mmmm[[#This Row],[Last Name]])</f>
        <v>Mazin Bytar</v>
      </c>
      <c r="E329" s="19" t="s">
        <v>18</v>
      </c>
      <c r="F329" s="11">
        <v>43574</v>
      </c>
      <c r="G329" s="19">
        <v>7</v>
      </c>
      <c r="H329" s="19" t="s">
        <v>19</v>
      </c>
      <c r="I329" s="19" t="s">
        <v>24</v>
      </c>
      <c r="J329" s="1" t="s">
        <v>33</v>
      </c>
      <c r="K329" s="19">
        <v>2060</v>
      </c>
      <c r="L329" s="19">
        <v>24720</v>
      </c>
      <c r="M329" s="19">
        <v>5</v>
      </c>
      <c r="N329" s="19">
        <v>0</v>
      </c>
      <c r="O329" s="1">
        <v>0</v>
      </c>
      <c r="P329" s="19">
        <v>14</v>
      </c>
    </row>
    <row r="330" spans="1:16">
      <c r="A330" s="1">
        <v>329</v>
      </c>
      <c r="B330" s="1" t="s">
        <v>40</v>
      </c>
      <c r="C330" s="1" t="s">
        <v>513</v>
      </c>
      <c r="D330" s="1" t="str">
        <f>_xlfn.CONCAT(mmmm[[#This Row],[First Name]]," ",mmmm[[#This Row],[Last Name]])</f>
        <v>Iin Farahat</v>
      </c>
      <c r="E330" s="19" t="s">
        <v>27</v>
      </c>
      <c r="F330" s="11">
        <v>43483</v>
      </c>
      <c r="G330" s="19">
        <v>7</v>
      </c>
      <c r="H330" s="19" t="s">
        <v>52</v>
      </c>
      <c r="I330" s="19" t="s">
        <v>50</v>
      </c>
      <c r="J330" s="1" t="s">
        <v>33</v>
      </c>
      <c r="K330" s="19">
        <v>2479</v>
      </c>
      <c r="L330" s="19">
        <v>29748</v>
      </c>
      <c r="M330" s="19">
        <v>5</v>
      </c>
      <c r="N330" s="19">
        <v>0</v>
      </c>
      <c r="O330" s="1">
        <v>2</v>
      </c>
      <c r="P330" s="19">
        <v>3</v>
      </c>
    </row>
    <row r="331" spans="1:16">
      <c r="A331" s="1">
        <v>330</v>
      </c>
      <c r="B331" s="1" t="s">
        <v>376</v>
      </c>
      <c r="C331" s="1" t="s">
        <v>514</v>
      </c>
      <c r="D331" s="1" t="str">
        <f>_xlfn.CONCAT(mmmm[[#This Row],[First Name]]," ",mmmm[[#This Row],[Last Name]])</f>
        <v>Lama Albazir</v>
      </c>
      <c r="E331" s="19" t="s">
        <v>27</v>
      </c>
      <c r="F331" s="11">
        <v>43248</v>
      </c>
      <c r="G331" s="19">
        <v>8</v>
      </c>
      <c r="H331" s="19" t="s">
        <v>38</v>
      </c>
      <c r="I331" s="19" t="s">
        <v>32</v>
      </c>
      <c r="J331" s="1" t="s">
        <v>33</v>
      </c>
      <c r="K331" s="19">
        <v>2106</v>
      </c>
      <c r="L331" s="19">
        <v>25272</v>
      </c>
      <c r="M331" s="19">
        <v>3</v>
      </c>
      <c r="N331" s="19">
        <v>0</v>
      </c>
      <c r="O331" s="1">
        <v>0</v>
      </c>
      <c r="P331" s="19">
        <v>9</v>
      </c>
    </row>
    <row r="332" spans="1:16">
      <c r="A332" s="1">
        <v>331</v>
      </c>
      <c r="B332" s="1" t="s">
        <v>297</v>
      </c>
      <c r="C332" s="1" t="s">
        <v>515</v>
      </c>
      <c r="D332" s="1" t="str">
        <f>_xlfn.CONCAT(mmmm[[#This Row],[First Name]]," ",mmmm[[#This Row],[Last Name]])</f>
        <v>Emar Alnisrin</v>
      </c>
      <c r="E332" s="19" t="s">
        <v>27</v>
      </c>
      <c r="F332" s="11">
        <v>43623</v>
      </c>
      <c r="G332" s="19">
        <v>7</v>
      </c>
      <c r="H332" s="19" t="s">
        <v>31</v>
      </c>
      <c r="I332" s="19" t="s">
        <v>24</v>
      </c>
      <c r="J332" s="1" t="s">
        <v>62</v>
      </c>
      <c r="K332" s="19">
        <v>1480</v>
      </c>
      <c r="L332" s="19">
        <v>17760</v>
      </c>
      <c r="M332" s="19">
        <v>2</v>
      </c>
      <c r="N332" s="19">
        <v>0</v>
      </c>
      <c r="O332" s="1">
        <v>0</v>
      </c>
      <c r="P332" s="19">
        <v>10</v>
      </c>
    </row>
    <row r="333" spans="1:16">
      <c r="A333" s="1">
        <v>332</v>
      </c>
      <c r="B333" s="1" t="s">
        <v>516</v>
      </c>
      <c r="C333" s="1" t="s">
        <v>517</v>
      </c>
      <c r="D333" s="1" t="str">
        <f>_xlfn.CONCAT(mmmm[[#This Row],[First Name]]," ",mmmm[[#This Row],[Last Name]])</f>
        <v>Afra Sharabi</v>
      </c>
      <c r="E333" s="19" t="s">
        <v>27</v>
      </c>
      <c r="F333" s="11">
        <v>43058</v>
      </c>
      <c r="G333" s="19">
        <v>8</v>
      </c>
      <c r="H333" s="19" t="s">
        <v>31</v>
      </c>
      <c r="I333" s="19" t="s">
        <v>20</v>
      </c>
      <c r="J333" s="1" t="s">
        <v>21</v>
      </c>
      <c r="K333" s="19">
        <v>994</v>
      </c>
      <c r="L333" s="19">
        <v>11928</v>
      </c>
      <c r="M333" s="19">
        <v>1</v>
      </c>
      <c r="N333" s="19">
        <v>0</v>
      </c>
      <c r="O333" s="1">
        <v>0</v>
      </c>
      <c r="P333" s="19">
        <v>9</v>
      </c>
    </row>
    <row r="334" spans="1:16">
      <c r="A334" s="1">
        <v>333</v>
      </c>
      <c r="B334" s="1" t="s">
        <v>34</v>
      </c>
      <c r="C334" s="1" t="s">
        <v>518</v>
      </c>
      <c r="D334" s="1" t="str">
        <f>_xlfn.CONCAT(mmmm[[#This Row],[First Name]]," ",mmmm[[#This Row],[Last Name]])</f>
        <v>Ahmad Hamuwd</v>
      </c>
      <c r="E334" s="19" t="s">
        <v>18</v>
      </c>
      <c r="F334" s="11">
        <v>43797</v>
      </c>
      <c r="G334" s="19">
        <v>6</v>
      </c>
      <c r="H334" s="19" t="s">
        <v>55</v>
      </c>
      <c r="I334" s="19" t="s">
        <v>32</v>
      </c>
      <c r="J334" s="1" t="s">
        <v>33</v>
      </c>
      <c r="K334" s="19">
        <v>2119</v>
      </c>
      <c r="L334" s="19">
        <v>25428</v>
      </c>
      <c r="M334" s="19">
        <v>4.5</v>
      </c>
      <c r="N334" s="19">
        <v>1</v>
      </c>
      <c r="O334" s="1">
        <v>5</v>
      </c>
      <c r="P334" s="19">
        <v>0</v>
      </c>
    </row>
    <row r="335" spans="1:16">
      <c r="A335" s="1">
        <v>334</v>
      </c>
      <c r="B335" s="1" t="s">
        <v>519</v>
      </c>
      <c r="C335" s="1" t="s">
        <v>520</v>
      </c>
      <c r="D335" s="1" t="str">
        <f>_xlfn.CONCAT(mmmm[[#This Row],[First Name]]," ",mmmm[[#This Row],[Last Name]])</f>
        <v>Ramiz Aleuryan</v>
      </c>
      <c r="E335" s="19" t="s">
        <v>18</v>
      </c>
      <c r="F335" s="11">
        <v>43378</v>
      </c>
      <c r="G335" s="19">
        <v>7</v>
      </c>
      <c r="H335" s="19" t="s">
        <v>52</v>
      </c>
      <c r="I335" s="19" t="s">
        <v>20</v>
      </c>
      <c r="J335" s="1" t="s">
        <v>33</v>
      </c>
      <c r="K335" s="19">
        <v>1577</v>
      </c>
      <c r="L335" s="19">
        <v>18924</v>
      </c>
      <c r="M335" s="19">
        <v>4.5</v>
      </c>
      <c r="N335" s="19">
        <v>0</v>
      </c>
      <c r="O335" s="1">
        <v>0</v>
      </c>
      <c r="P335" s="19">
        <v>7</v>
      </c>
    </row>
    <row r="336" spans="1:16">
      <c r="A336" s="1">
        <v>335</v>
      </c>
      <c r="B336" s="1" t="s">
        <v>51</v>
      </c>
      <c r="C336" s="1" t="s">
        <v>521</v>
      </c>
      <c r="D336" s="1" t="str">
        <f>_xlfn.CONCAT(mmmm[[#This Row],[First Name]]," ",mmmm[[#This Row],[Last Name]])</f>
        <v>Iad Eaku</v>
      </c>
      <c r="E336" s="19" t="s">
        <v>18</v>
      </c>
      <c r="F336" s="11">
        <v>43224</v>
      </c>
      <c r="G336" s="19">
        <v>8</v>
      </c>
      <c r="H336" s="19" t="s">
        <v>19</v>
      </c>
      <c r="I336" s="19" t="s">
        <v>32</v>
      </c>
      <c r="J336" s="1" t="s">
        <v>33</v>
      </c>
      <c r="K336" s="19">
        <v>3160</v>
      </c>
      <c r="L336" s="19">
        <v>37920</v>
      </c>
      <c r="M336" s="19">
        <v>5</v>
      </c>
      <c r="N336" s="19">
        <v>0</v>
      </c>
      <c r="O336" s="1">
        <v>5</v>
      </c>
      <c r="P336" s="19">
        <v>10</v>
      </c>
    </row>
    <row r="337" spans="1:16">
      <c r="A337" s="1">
        <v>336</v>
      </c>
      <c r="B337" s="1" t="s">
        <v>66</v>
      </c>
      <c r="C337" s="1" t="s">
        <v>522</v>
      </c>
      <c r="D337" s="1" t="str">
        <f>_xlfn.CONCAT(mmmm[[#This Row],[First Name]]," ",mmmm[[#This Row],[Last Name]])</f>
        <v>Husayn Euthman</v>
      </c>
      <c r="E337" s="19" t="s">
        <v>18</v>
      </c>
      <c r="F337" s="11">
        <v>44123</v>
      </c>
      <c r="G337" s="19">
        <v>5</v>
      </c>
      <c r="H337" s="19" t="s">
        <v>90</v>
      </c>
      <c r="I337" s="19" t="s">
        <v>24</v>
      </c>
      <c r="J337" s="1" t="s">
        <v>33</v>
      </c>
      <c r="K337" s="19">
        <v>2692</v>
      </c>
      <c r="L337" s="19">
        <v>32304</v>
      </c>
      <c r="M337" s="19">
        <v>1</v>
      </c>
      <c r="N337" s="19">
        <v>4</v>
      </c>
      <c r="O337" s="1">
        <v>0</v>
      </c>
      <c r="P337" s="19">
        <v>6</v>
      </c>
    </row>
    <row r="338" spans="1:16">
      <c r="A338" s="1">
        <v>337</v>
      </c>
      <c r="B338" s="1" t="s">
        <v>523</v>
      </c>
      <c r="C338" s="1" t="s">
        <v>524</v>
      </c>
      <c r="D338" s="1" t="str">
        <f>_xlfn.CONCAT(mmmm[[#This Row],[First Name]]," ",mmmm[[#This Row],[Last Name]])</f>
        <v>Imran Hazruma</v>
      </c>
      <c r="E338" s="19" t="s">
        <v>18</v>
      </c>
      <c r="F338" s="11">
        <v>43430</v>
      </c>
      <c r="G338" s="19">
        <v>7</v>
      </c>
      <c r="H338" s="19" t="s">
        <v>44</v>
      </c>
      <c r="I338" s="19" t="s">
        <v>32</v>
      </c>
      <c r="J338" s="1" t="s">
        <v>62</v>
      </c>
      <c r="K338" s="19">
        <v>1448</v>
      </c>
      <c r="L338" s="19">
        <v>17376</v>
      </c>
      <c r="M338" s="19">
        <v>4.5</v>
      </c>
      <c r="N338" s="19">
        <v>0</v>
      </c>
      <c r="O338" s="1">
        <v>0</v>
      </c>
      <c r="P338" s="19">
        <v>1</v>
      </c>
    </row>
    <row r="339" spans="1:16">
      <c r="A339" s="1">
        <v>338</v>
      </c>
      <c r="B339" s="1" t="s">
        <v>525</v>
      </c>
      <c r="C339" s="1" t="s">
        <v>526</v>
      </c>
      <c r="D339" s="1" t="str">
        <f>_xlfn.CONCAT(mmmm[[#This Row],[First Name]]," ",mmmm[[#This Row],[Last Name]])</f>
        <v>Rawan Durkzili</v>
      </c>
      <c r="E339" s="19" t="s">
        <v>27</v>
      </c>
      <c r="F339" s="11">
        <v>43541</v>
      </c>
      <c r="G339" s="19">
        <v>7</v>
      </c>
      <c r="H339" s="19" t="s">
        <v>31</v>
      </c>
      <c r="I339" s="19" t="s">
        <v>20</v>
      </c>
      <c r="J339" s="1" t="s">
        <v>21</v>
      </c>
      <c r="K339" s="19">
        <v>1568</v>
      </c>
      <c r="L339" s="19">
        <v>18816</v>
      </c>
      <c r="M339" s="19">
        <v>3</v>
      </c>
      <c r="N339" s="19">
        <v>5</v>
      </c>
      <c r="O339" s="1">
        <v>0</v>
      </c>
      <c r="P339" s="19">
        <v>7</v>
      </c>
    </row>
    <row r="340" spans="1:16">
      <c r="A340" s="1">
        <v>339</v>
      </c>
      <c r="B340" s="1" t="s">
        <v>438</v>
      </c>
      <c r="C340" s="1" t="s">
        <v>527</v>
      </c>
      <c r="D340" s="1" t="str">
        <f>_xlfn.CONCAT(mmmm[[#This Row],[First Name]]," ",mmmm[[#This Row],[Last Name]])</f>
        <v>Muayid Shaqir</v>
      </c>
      <c r="E340" s="19" t="s">
        <v>18</v>
      </c>
      <c r="F340" s="11">
        <v>42724</v>
      </c>
      <c r="G340" s="19">
        <v>9</v>
      </c>
      <c r="H340" s="19" t="s">
        <v>55</v>
      </c>
      <c r="I340" s="19" t="s">
        <v>20</v>
      </c>
      <c r="J340" s="1" t="s">
        <v>39</v>
      </c>
      <c r="K340" s="19">
        <v>1823</v>
      </c>
      <c r="L340" s="19">
        <v>21876</v>
      </c>
      <c r="M340" s="19">
        <v>4.5</v>
      </c>
      <c r="N340" s="19">
        <v>5</v>
      </c>
      <c r="O340" s="1">
        <v>0</v>
      </c>
      <c r="P340" s="19">
        <v>9</v>
      </c>
    </row>
    <row r="341" spans="1:16">
      <c r="A341" s="1">
        <v>340</v>
      </c>
      <c r="B341" s="1" t="s">
        <v>528</v>
      </c>
      <c r="C341" s="1" t="s">
        <v>529</v>
      </c>
      <c r="D341" s="1" t="str">
        <f>_xlfn.CONCAT(mmmm[[#This Row],[First Name]]," ",mmmm[[#This Row],[Last Name]])</f>
        <v>Muanis Alsabagh</v>
      </c>
      <c r="E341" s="19" t="s">
        <v>18</v>
      </c>
      <c r="F341" s="11">
        <v>43512</v>
      </c>
      <c r="G341" s="19">
        <v>7</v>
      </c>
      <c r="H341" s="19" t="s">
        <v>31</v>
      </c>
      <c r="I341" s="19" t="s">
        <v>20</v>
      </c>
      <c r="J341" s="1" t="s">
        <v>21</v>
      </c>
      <c r="K341" s="19">
        <v>1712</v>
      </c>
      <c r="L341" s="19">
        <v>20544</v>
      </c>
      <c r="M341" s="19">
        <v>4.5</v>
      </c>
      <c r="N341" s="19">
        <v>0</v>
      </c>
      <c r="O341" s="1">
        <v>4</v>
      </c>
      <c r="P341" s="19">
        <v>15</v>
      </c>
    </row>
    <row r="342" spans="1:16">
      <c r="A342" s="1">
        <v>341</v>
      </c>
      <c r="B342" s="1" t="s">
        <v>530</v>
      </c>
      <c r="C342" s="1" t="s">
        <v>531</v>
      </c>
      <c r="D342" s="1" t="str">
        <f>_xlfn.CONCAT(mmmm[[#This Row],[First Name]]," ",mmmm[[#This Row],[Last Name]])</f>
        <v>Dijwar Husu</v>
      </c>
      <c r="E342" s="19" t="s">
        <v>18</v>
      </c>
      <c r="F342" s="11">
        <v>44134</v>
      </c>
      <c r="G342" s="19">
        <v>5</v>
      </c>
      <c r="H342" s="19" t="s">
        <v>38</v>
      </c>
      <c r="I342" s="19" t="s">
        <v>32</v>
      </c>
      <c r="J342" s="1" t="s">
        <v>62</v>
      </c>
      <c r="K342" s="19">
        <v>744</v>
      </c>
      <c r="L342" s="19">
        <v>8928</v>
      </c>
      <c r="M342" s="19">
        <v>5</v>
      </c>
      <c r="N342" s="19">
        <v>5</v>
      </c>
      <c r="O342" s="1">
        <v>0</v>
      </c>
      <c r="P342" s="19">
        <v>8</v>
      </c>
    </row>
    <row r="343" spans="1:16">
      <c r="A343" s="1">
        <v>342</v>
      </c>
      <c r="B343" s="1" t="s">
        <v>532</v>
      </c>
      <c r="C343" s="1" t="s">
        <v>533</v>
      </c>
      <c r="D343" s="1" t="str">
        <f>_xlfn.CONCAT(mmmm[[#This Row],[First Name]]," ",mmmm[[#This Row],[Last Name]])</f>
        <v>Asama Eilwan</v>
      </c>
      <c r="E343" s="19" t="s">
        <v>27</v>
      </c>
      <c r="F343" s="11">
        <v>42945</v>
      </c>
      <c r="G343" s="19">
        <v>9</v>
      </c>
      <c r="H343" s="19" t="s">
        <v>31</v>
      </c>
      <c r="I343" s="19" t="s">
        <v>20</v>
      </c>
      <c r="J343" s="1" t="s">
        <v>39</v>
      </c>
      <c r="K343" s="19">
        <v>2972</v>
      </c>
      <c r="L343" s="19">
        <v>35664</v>
      </c>
      <c r="M343" s="19">
        <v>5</v>
      </c>
      <c r="N343" s="19">
        <v>0</v>
      </c>
      <c r="O343" s="1">
        <v>4</v>
      </c>
      <c r="P343" s="19">
        <v>2</v>
      </c>
    </row>
    <row r="344" spans="1:16">
      <c r="A344" s="1">
        <v>343</v>
      </c>
      <c r="B344" s="1" t="s">
        <v>458</v>
      </c>
      <c r="C344" s="1" t="s">
        <v>534</v>
      </c>
      <c r="D344" s="1" t="str">
        <f>_xlfn.CONCAT(mmmm[[#This Row],[First Name]]," ",mmmm[[#This Row],[Last Name]])</f>
        <v>Esamat Alhidad</v>
      </c>
      <c r="E344" s="19" t="s">
        <v>18</v>
      </c>
      <c r="F344" s="11">
        <v>43785</v>
      </c>
      <c r="G344" s="19">
        <v>6</v>
      </c>
      <c r="H344" s="19" t="s">
        <v>44</v>
      </c>
      <c r="I344" s="19" t="s">
        <v>20</v>
      </c>
      <c r="J344" s="1" t="s">
        <v>39</v>
      </c>
      <c r="K344" s="19">
        <v>2931</v>
      </c>
      <c r="L344" s="19">
        <v>35172</v>
      </c>
      <c r="M344" s="19">
        <v>3</v>
      </c>
      <c r="N344" s="19">
        <v>6</v>
      </c>
      <c r="O344" s="1">
        <v>0</v>
      </c>
      <c r="P344" s="19">
        <v>71</v>
      </c>
    </row>
    <row r="345" spans="1:16">
      <c r="A345" s="1">
        <v>344</v>
      </c>
      <c r="B345" s="1" t="s">
        <v>197</v>
      </c>
      <c r="C345" s="1" t="s">
        <v>535</v>
      </c>
      <c r="D345" s="1" t="str">
        <f>_xlfn.CONCAT(mmmm[[#This Row],[First Name]]," ",mmmm[[#This Row],[Last Name]])</f>
        <v>Tariq Zaeur</v>
      </c>
      <c r="E345" s="19" t="s">
        <v>18</v>
      </c>
      <c r="F345" s="11">
        <v>43301</v>
      </c>
      <c r="G345" s="19">
        <v>8</v>
      </c>
      <c r="H345" s="19" t="s">
        <v>120</v>
      </c>
      <c r="I345" s="19" t="s">
        <v>50</v>
      </c>
      <c r="J345" s="1" t="s">
        <v>21</v>
      </c>
      <c r="K345" s="19">
        <v>2544</v>
      </c>
      <c r="L345" s="19">
        <v>30528</v>
      </c>
      <c r="M345" s="19">
        <v>3</v>
      </c>
      <c r="N345" s="19">
        <v>0</v>
      </c>
      <c r="O345" s="1">
        <v>0</v>
      </c>
      <c r="P345" s="19">
        <v>2</v>
      </c>
    </row>
    <row r="346" spans="1:16">
      <c r="A346" s="1">
        <v>345</v>
      </c>
      <c r="B346" s="1" t="s">
        <v>536</v>
      </c>
      <c r="C346" s="1" t="s">
        <v>537</v>
      </c>
      <c r="D346" s="1" t="str">
        <f>_xlfn.CONCAT(mmmm[[#This Row],[First Name]]," ",mmmm[[#This Row],[Last Name]])</f>
        <v>Rasul Aleumurii</v>
      </c>
      <c r="E346" s="19" t="s">
        <v>18</v>
      </c>
      <c r="F346" s="11">
        <v>42605</v>
      </c>
      <c r="G346" s="19">
        <v>9</v>
      </c>
      <c r="H346" s="19" t="s">
        <v>31</v>
      </c>
      <c r="I346" s="19" t="s">
        <v>24</v>
      </c>
      <c r="J346" s="1" t="s">
        <v>33</v>
      </c>
      <c r="K346" s="19">
        <v>1595</v>
      </c>
      <c r="L346" s="19">
        <v>19140</v>
      </c>
      <c r="M346" s="19">
        <v>5</v>
      </c>
      <c r="N346" s="19">
        <v>0</v>
      </c>
      <c r="O346" s="1">
        <v>0</v>
      </c>
      <c r="P346" s="19">
        <v>0</v>
      </c>
    </row>
    <row r="347" spans="1:16">
      <c r="A347" s="1">
        <v>346</v>
      </c>
      <c r="B347" s="1" t="s">
        <v>525</v>
      </c>
      <c r="C347" s="1" t="s">
        <v>538</v>
      </c>
      <c r="D347" s="1" t="str">
        <f>_xlfn.CONCAT(mmmm[[#This Row],[First Name]]," ",mmmm[[#This Row],[Last Name]])</f>
        <v>Rawan Albaytar</v>
      </c>
      <c r="E347" s="19" t="s">
        <v>27</v>
      </c>
      <c r="F347" s="11">
        <v>43439</v>
      </c>
      <c r="G347" s="19">
        <v>7</v>
      </c>
      <c r="H347" s="19" t="s">
        <v>44</v>
      </c>
      <c r="I347" s="19" t="s">
        <v>50</v>
      </c>
      <c r="J347" s="1" t="s">
        <v>21</v>
      </c>
      <c r="K347" s="19">
        <v>1326</v>
      </c>
      <c r="L347" s="19">
        <v>15912</v>
      </c>
      <c r="M347" s="19">
        <v>3</v>
      </c>
      <c r="N347" s="19">
        <v>0</v>
      </c>
      <c r="O347" s="1">
        <v>3</v>
      </c>
      <c r="P347" s="19">
        <v>7</v>
      </c>
    </row>
    <row r="348" spans="1:16">
      <c r="A348" s="1">
        <v>347</v>
      </c>
      <c r="B348" s="1" t="s">
        <v>22</v>
      </c>
      <c r="C348" s="1" t="s">
        <v>539</v>
      </c>
      <c r="D348" s="1" t="str">
        <f>_xlfn.CONCAT(mmmm[[#This Row],[First Name]]," ",mmmm[[#This Row],[Last Name]])</f>
        <v>Omar Altuean</v>
      </c>
      <c r="E348" s="19" t="s">
        <v>18</v>
      </c>
      <c r="F348" s="11">
        <v>43492</v>
      </c>
      <c r="G348" s="19">
        <v>7</v>
      </c>
      <c r="H348" s="19" t="s">
        <v>60</v>
      </c>
      <c r="I348" s="19" t="s">
        <v>20</v>
      </c>
      <c r="J348" s="1" t="s">
        <v>33</v>
      </c>
      <c r="K348" s="19">
        <v>3117</v>
      </c>
      <c r="L348" s="19">
        <v>37404</v>
      </c>
      <c r="M348" s="19">
        <v>3</v>
      </c>
      <c r="N348" s="19">
        <v>0</v>
      </c>
      <c r="O348" s="1">
        <v>4</v>
      </c>
      <c r="P348" s="19">
        <v>0</v>
      </c>
    </row>
    <row r="349" spans="1:16">
      <c r="A349" s="1">
        <v>348</v>
      </c>
      <c r="B349" s="1" t="s">
        <v>540</v>
      </c>
      <c r="C349" s="1" t="s">
        <v>541</v>
      </c>
      <c r="D349" s="1" t="str">
        <f>_xlfn.CONCAT(mmmm[[#This Row],[First Name]]," ",mmmm[[#This Row],[Last Name]])</f>
        <v>Dalia Hamdan</v>
      </c>
      <c r="E349" s="19" t="s">
        <v>27</v>
      </c>
      <c r="F349" s="11">
        <v>43507</v>
      </c>
      <c r="G349" s="19">
        <v>7</v>
      </c>
      <c r="H349" s="19" t="s">
        <v>28</v>
      </c>
      <c r="I349" s="19" t="s">
        <v>20</v>
      </c>
      <c r="J349" s="1" t="s">
        <v>21</v>
      </c>
      <c r="K349" s="19">
        <v>3446</v>
      </c>
      <c r="L349" s="19">
        <v>41352</v>
      </c>
      <c r="M349" s="19">
        <v>5</v>
      </c>
      <c r="N349" s="19">
        <v>0</v>
      </c>
      <c r="O349" s="1">
        <v>0</v>
      </c>
      <c r="P349" s="19">
        <v>10</v>
      </c>
    </row>
    <row r="350" spans="1:16">
      <c r="A350" s="1">
        <v>349</v>
      </c>
      <c r="B350" s="1" t="s">
        <v>22</v>
      </c>
      <c r="C350" s="1" t="s">
        <v>542</v>
      </c>
      <c r="D350" s="1" t="str">
        <f>_xlfn.CONCAT(mmmm[[#This Row],[First Name]]," ",mmmm[[#This Row],[Last Name]])</f>
        <v>Omar Alhindi</v>
      </c>
      <c r="E350" s="19" t="s">
        <v>18</v>
      </c>
      <c r="F350" s="11">
        <v>43476</v>
      </c>
      <c r="G350" s="19">
        <v>7</v>
      </c>
      <c r="H350" s="19" t="s">
        <v>31</v>
      </c>
      <c r="I350" s="19" t="s">
        <v>32</v>
      </c>
      <c r="J350" s="1" t="s">
        <v>21</v>
      </c>
      <c r="K350" s="19">
        <v>2023</v>
      </c>
      <c r="L350" s="19">
        <v>24276</v>
      </c>
      <c r="M350" s="19">
        <v>4.5</v>
      </c>
      <c r="N350" s="19">
        <v>6</v>
      </c>
      <c r="O350" s="1">
        <v>0</v>
      </c>
      <c r="P350" s="19">
        <v>6</v>
      </c>
    </row>
    <row r="351" spans="1:16">
      <c r="A351" s="1">
        <v>350</v>
      </c>
      <c r="B351" s="1" t="s">
        <v>188</v>
      </c>
      <c r="C351" s="1" t="s">
        <v>543</v>
      </c>
      <c r="D351" s="1" t="str">
        <f>_xlfn.CONCAT(mmmm[[#This Row],[First Name]]," ",mmmm[[#This Row],[Last Name]])</f>
        <v>Ali Zyny</v>
      </c>
      <c r="E351" s="19" t="s">
        <v>18</v>
      </c>
      <c r="F351" s="11">
        <v>44044</v>
      </c>
      <c r="G351" s="19">
        <v>6</v>
      </c>
      <c r="H351" s="19" t="s">
        <v>79</v>
      </c>
      <c r="I351" s="19" t="s">
        <v>20</v>
      </c>
      <c r="J351" s="1" t="s">
        <v>39</v>
      </c>
      <c r="K351" s="19">
        <v>979</v>
      </c>
      <c r="L351" s="19">
        <v>11748</v>
      </c>
      <c r="M351" s="19">
        <v>3</v>
      </c>
      <c r="N351" s="19">
        <v>6</v>
      </c>
      <c r="O351" s="1">
        <v>0</v>
      </c>
      <c r="P351" s="19">
        <v>4</v>
      </c>
    </row>
    <row r="352" spans="1:16">
      <c r="A352" s="1">
        <v>351</v>
      </c>
      <c r="B352" s="1" t="s">
        <v>544</v>
      </c>
      <c r="C352" s="1" t="s">
        <v>545</v>
      </c>
      <c r="D352" s="1" t="str">
        <f>_xlfn.CONCAT(mmmm[[#This Row],[First Name]]," ",mmmm[[#This Row],[Last Name]])</f>
        <v>Almuetaz Biallah</v>
      </c>
      <c r="E352" s="19" t="s">
        <v>18</v>
      </c>
      <c r="F352" s="11">
        <v>44064</v>
      </c>
      <c r="G352" s="19">
        <v>5</v>
      </c>
      <c r="H352" s="19" t="s">
        <v>165</v>
      </c>
      <c r="I352" s="19" t="s">
        <v>20</v>
      </c>
      <c r="J352" s="1" t="s">
        <v>33</v>
      </c>
      <c r="K352" s="19">
        <v>1676</v>
      </c>
      <c r="L352" s="19">
        <v>20112</v>
      </c>
      <c r="M352" s="19">
        <v>4.5</v>
      </c>
      <c r="N352" s="19">
        <v>0</v>
      </c>
      <c r="O352" s="1">
        <v>0</v>
      </c>
      <c r="P352" s="19">
        <v>8</v>
      </c>
    </row>
    <row r="353" spans="1:16">
      <c r="A353" s="1">
        <v>352</v>
      </c>
      <c r="B353" s="1" t="s">
        <v>546</v>
      </c>
      <c r="C353" s="1" t="s">
        <v>547</v>
      </c>
      <c r="D353" s="1" t="str">
        <f>_xlfn.CONCAT(mmmm[[#This Row],[First Name]]," ",mmmm[[#This Row],[Last Name]])</f>
        <v>Rabana Alsaman</v>
      </c>
      <c r="E353" s="19" t="s">
        <v>27</v>
      </c>
      <c r="F353" s="11">
        <v>42747</v>
      </c>
      <c r="G353" s="19">
        <v>9</v>
      </c>
      <c r="H353" s="19" t="s">
        <v>42</v>
      </c>
      <c r="I353" s="19" t="s">
        <v>20</v>
      </c>
      <c r="J353" s="1" t="s">
        <v>39</v>
      </c>
      <c r="K353" s="19">
        <v>3079</v>
      </c>
      <c r="L353" s="19">
        <v>36948</v>
      </c>
      <c r="M353" s="19">
        <v>3</v>
      </c>
      <c r="N353" s="19">
        <v>0</v>
      </c>
      <c r="O353" s="1">
        <v>0</v>
      </c>
      <c r="P353" s="19">
        <v>2</v>
      </c>
    </row>
    <row r="354" spans="1:16">
      <c r="A354" s="1">
        <v>353</v>
      </c>
      <c r="B354" s="1" t="s">
        <v>124</v>
      </c>
      <c r="C354" s="1" t="s">
        <v>167</v>
      </c>
      <c r="D354" s="1" t="str">
        <f>_xlfn.CONCAT(mmmm[[#This Row],[First Name]]," ",mmmm[[#This Row],[Last Name]])</f>
        <v>Ghada Khalid</v>
      </c>
      <c r="E354" s="19" t="s">
        <v>27</v>
      </c>
      <c r="F354" s="11">
        <v>43675</v>
      </c>
      <c r="G354" s="19">
        <v>7</v>
      </c>
      <c r="H354" s="19" t="s">
        <v>52</v>
      </c>
      <c r="I354" s="19" t="s">
        <v>20</v>
      </c>
      <c r="J354" s="1" t="s">
        <v>33</v>
      </c>
      <c r="K354" s="19">
        <v>2164</v>
      </c>
      <c r="L354" s="19">
        <v>25968</v>
      </c>
      <c r="M354" s="19">
        <v>3</v>
      </c>
      <c r="N354" s="19">
        <v>0</v>
      </c>
      <c r="O354" s="1">
        <v>2</v>
      </c>
      <c r="P354" s="19">
        <v>0</v>
      </c>
    </row>
    <row r="355" spans="1:16">
      <c r="A355" s="1">
        <v>354</v>
      </c>
      <c r="B355" s="1" t="s">
        <v>458</v>
      </c>
      <c r="C355" s="1" t="s">
        <v>548</v>
      </c>
      <c r="D355" s="1" t="str">
        <f>_xlfn.CONCAT(mmmm[[#This Row],[First Name]]," ",mmmm[[#This Row],[Last Name]])</f>
        <v>Esamat Alriys</v>
      </c>
      <c r="E355" s="19" t="s">
        <v>18</v>
      </c>
      <c r="F355" s="11">
        <v>44146</v>
      </c>
      <c r="G355" s="19">
        <v>5</v>
      </c>
      <c r="H355" s="19" t="s">
        <v>31</v>
      </c>
      <c r="I355" s="19" t="s">
        <v>20</v>
      </c>
      <c r="J355" s="1" t="s">
        <v>33</v>
      </c>
      <c r="K355" s="19">
        <v>2312</v>
      </c>
      <c r="L355" s="19">
        <v>27744</v>
      </c>
      <c r="M355" s="19">
        <v>3</v>
      </c>
      <c r="N355" s="19">
        <v>0</v>
      </c>
      <c r="O355" s="1">
        <v>0</v>
      </c>
      <c r="P355" s="19">
        <v>31</v>
      </c>
    </row>
    <row r="356" spans="1:16">
      <c r="A356" s="1">
        <v>355</v>
      </c>
      <c r="B356" s="1" t="s">
        <v>304</v>
      </c>
      <c r="C356" s="1" t="s">
        <v>169</v>
      </c>
      <c r="D356" s="1" t="str">
        <f>_xlfn.CONCAT(mmmm[[#This Row],[First Name]]," ",mmmm[[#This Row],[Last Name]])</f>
        <v>Amir Alkhatib</v>
      </c>
      <c r="E356" s="19" t="s">
        <v>18</v>
      </c>
      <c r="F356" s="11">
        <v>42974</v>
      </c>
      <c r="G356" s="19">
        <v>8</v>
      </c>
      <c r="H356" s="19" t="s">
        <v>44</v>
      </c>
      <c r="I356" s="19" t="s">
        <v>20</v>
      </c>
      <c r="J356" s="1" t="s">
        <v>21</v>
      </c>
      <c r="K356" s="19">
        <v>834</v>
      </c>
      <c r="L356" s="19">
        <v>10008</v>
      </c>
      <c r="M356" s="19">
        <v>2</v>
      </c>
      <c r="N356" s="19">
        <v>6</v>
      </c>
      <c r="O356" s="1">
        <v>0</v>
      </c>
      <c r="P356" s="19">
        <v>13</v>
      </c>
    </row>
    <row r="357" spans="1:16">
      <c r="A357" s="1">
        <v>356</v>
      </c>
      <c r="B357" s="1" t="s">
        <v>549</v>
      </c>
      <c r="C357" s="1" t="s">
        <v>550</v>
      </c>
      <c r="D357" s="1" t="str">
        <f>_xlfn.CONCAT(mmmm[[#This Row],[First Name]]," ",mmmm[[#This Row],[Last Name]])</f>
        <v>Samirah Jumea</v>
      </c>
      <c r="E357" s="19" t="s">
        <v>27</v>
      </c>
      <c r="F357" s="11">
        <v>43480</v>
      </c>
      <c r="G357" s="19">
        <v>7</v>
      </c>
      <c r="H357" s="19" t="s">
        <v>19</v>
      </c>
      <c r="I357" s="19" t="s">
        <v>20</v>
      </c>
      <c r="J357" s="1" t="s">
        <v>33</v>
      </c>
      <c r="K357" s="19">
        <v>723</v>
      </c>
      <c r="L357" s="19">
        <v>8676</v>
      </c>
      <c r="M357" s="19">
        <v>3</v>
      </c>
      <c r="N357" s="19">
        <v>0</v>
      </c>
      <c r="O357" s="1">
        <v>0</v>
      </c>
      <c r="P357" s="19">
        <v>10</v>
      </c>
    </row>
    <row r="358" spans="1:16">
      <c r="A358" s="1">
        <v>357</v>
      </c>
      <c r="B358" s="1" t="s">
        <v>71</v>
      </c>
      <c r="C358" s="1" t="s">
        <v>551</v>
      </c>
      <c r="D358" s="1" t="str">
        <f>_xlfn.CONCAT(mmmm[[#This Row],[First Name]]," ",mmmm[[#This Row],[Last Name]])</f>
        <v>Samir Alhaj Ali</v>
      </c>
      <c r="E358" s="19" t="s">
        <v>18</v>
      </c>
      <c r="F358" s="11">
        <v>42504</v>
      </c>
      <c r="G358" s="19">
        <v>10</v>
      </c>
      <c r="H358" s="19" t="s">
        <v>79</v>
      </c>
      <c r="I358" s="19" t="s">
        <v>20</v>
      </c>
      <c r="J358" s="1" t="s">
        <v>21</v>
      </c>
      <c r="K358" s="19">
        <v>2807</v>
      </c>
      <c r="L358" s="19">
        <v>33684</v>
      </c>
      <c r="M358" s="19">
        <v>3</v>
      </c>
      <c r="N358" s="19">
        <v>5</v>
      </c>
      <c r="O358" s="1">
        <v>1</v>
      </c>
      <c r="P358" s="19">
        <v>2</v>
      </c>
    </row>
    <row r="359" spans="1:16">
      <c r="A359" s="1">
        <v>358</v>
      </c>
      <c r="B359" s="1" t="s">
        <v>552</v>
      </c>
      <c r="C359" s="1" t="s">
        <v>553</v>
      </c>
      <c r="D359" s="1" t="str">
        <f>_xlfn.CONCAT(mmmm[[#This Row],[First Name]]," ",mmmm[[#This Row],[Last Name]])</f>
        <v>Farial Qulumih</v>
      </c>
      <c r="E359" s="19" t="s">
        <v>27</v>
      </c>
      <c r="F359" s="11">
        <v>42904</v>
      </c>
      <c r="G359" s="19">
        <v>9</v>
      </c>
      <c r="H359" s="19" t="s">
        <v>60</v>
      </c>
      <c r="I359" s="19" t="s">
        <v>24</v>
      </c>
      <c r="J359" s="1" t="s">
        <v>39</v>
      </c>
      <c r="K359" s="19">
        <v>1002</v>
      </c>
      <c r="L359" s="19">
        <v>12024</v>
      </c>
      <c r="M359" s="19">
        <v>5</v>
      </c>
      <c r="N359" s="19">
        <v>1</v>
      </c>
      <c r="O359" s="1">
        <v>0</v>
      </c>
      <c r="P359" s="19">
        <v>3</v>
      </c>
    </row>
    <row r="360" spans="1:16">
      <c r="A360" s="1">
        <v>359</v>
      </c>
      <c r="B360" s="1" t="s">
        <v>342</v>
      </c>
      <c r="C360" s="1" t="s">
        <v>554</v>
      </c>
      <c r="D360" s="1" t="str">
        <f>_xlfn.CONCAT(mmmm[[#This Row],[First Name]]," ",mmmm[[#This Row],[Last Name]])</f>
        <v>Salih Dawara</v>
      </c>
      <c r="E360" s="19" t="s">
        <v>18</v>
      </c>
      <c r="F360" s="11">
        <v>44023</v>
      </c>
      <c r="G360" s="19">
        <v>6</v>
      </c>
      <c r="H360" s="19" t="s">
        <v>120</v>
      </c>
      <c r="I360" s="19" t="s">
        <v>20</v>
      </c>
      <c r="J360" s="1" t="s">
        <v>21</v>
      </c>
      <c r="K360" s="19">
        <v>2265</v>
      </c>
      <c r="L360" s="19">
        <v>27180</v>
      </c>
      <c r="M360" s="19">
        <v>5</v>
      </c>
      <c r="N360" s="19">
        <v>1</v>
      </c>
      <c r="O360" s="1">
        <v>0</v>
      </c>
      <c r="P360" s="19">
        <v>9</v>
      </c>
    </row>
    <row r="361" spans="1:16">
      <c r="A361" s="1">
        <v>360</v>
      </c>
      <c r="B361" s="1" t="s">
        <v>555</v>
      </c>
      <c r="C361" s="1" t="s">
        <v>68</v>
      </c>
      <c r="D361" s="1" t="str">
        <f>_xlfn.CONCAT(mmmm[[#This Row],[First Name]]," ",mmmm[[#This Row],[Last Name]])</f>
        <v>Abdalhadi Salim</v>
      </c>
      <c r="E361" s="19" t="s">
        <v>18</v>
      </c>
      <c r="F361" s="11">
        <v>43753</v>
      </c>
      <c r="G361" s="19">
        <v>6</v>
      </c>
      <c r="H361" s="19" t="s">
        <v>19</v>
      </c>
      <c r="I361" s="19" t="s">
        <v>20</v>
      </c>
      <c r="J361" s="1" t="s">
        <v>39</v>
      </c>
      <c r="K361" s="19">
        <v>3283</v>
      </c>
      <c r="L361" s="19">
        <v>39396</v>
      </c>
      <c r="M361" s="19">
        <v>5</v>
      </c>
      <c r="N361" s="19">
        <v>0</v>
      </c>
      <c r="O361" s="1">
        <v>0</v>
      </c>
      <c r="P361" s="19">
        <v>3</v>
      </c>
    </row>
    <row r="362" spans="1:16">
      <c r="A362" s="1">
        <v>361</v>
      </c>
      <c r="B362" s="1" t="s">
        <v>307</v>
      </c>
      <c r="C362" s="1" t="s">
        <v>556</v>
      </c>
      <c r="D362" s="1" t="str">
        <f>_xlfn.CONCAT(mmmm[[#This Row],[First Name]]," ",mmmm[[#This Row],[Last Name]])</f>
        <v>Ruaa Qahraman</v>
      </c>
      <c r="E362" s="19" t="s">
        <v>27</v>
      </c>
      <c r="F362" s="11">
        <v>43204</v>
      </c>
      <c r="G362" s="19">
        <v>8</v>
      </c>
      <c r="H362" s="19" t="s">
        <v>79</v>
      </c>
      <c r="I362" s="19" t="s">
        <v>20</v>
      </c>
      <c r="J362" s="1" t="s">
        <v>39</v>
      </c>
      <c r="K362" s="19">
        <v>2675</v>
      </c>
      <c r="L362" s="19">
        <v>32100</v>
      </c>
      <c r="M362" s="19">
        <v>3</v>
      </c>
      <c r="N362" s="19">
        <v>1</v>
      </c>
      <c r="O362" s="1">
        <v>6</v>
      </c>
      <c r="P362" s="19">
        <v>4</v>
      </c>
    </row>
    <row r="363" spans="1:16">
      <c r="A363" s="1">
        <v>362</v>
      </c>
      <c r="B363" s="1" t="s">
        <v>36</v>
      </c>
      <c r="C363" s="1" t="s">
        <v>557</v>
      </c>
      <c r="D363" s="1" t="str">
        <f>_xlfn.CONCAT(mmmm[[#This Row],[First Name]]," ",mmmm[[#This Row],[Last Name]])</f>
        <v>Muhamad Mshati</v>
      </c>
      <c r="E363" s="19" t="s">
        <v>18</v>
      </c>
      <c r="F363" s="11">
        <v>43481</v>
      </c>
      <c r="G363" s="19">
        <v>7</v>
      </c>
      <c r="H363" s="19" t="s">
        <v>60</v>
      </c>
      <c r="I363" s="19" t="s">
        <v>32</v>
      </c>
      <c r="J363" s="1" t="s">
        <v>33</v>
      </c>
      <c r="K363" s="19">
        <v>3056</v>
      </c>
      <c r="L363" s="19">
        <v>36672</v>
      </c>
      <c r="M363" s="19">
        <v>4.5</v>
      </c>
      <c r="N363" s="19">
        <v>0</v>
      </c>
      <c r="O363" s="1">
        <v>0</v>
      </c>
      <c r="P363" s="19">
        <v>9</v>
      </c>
    </row>
    <row r="364" spans="1:16">
      <c r="A364" s="1">
        <v>363</v>
      </c>
      <c r="B364" s="1" t="s">
        <v>131</v>
      </c>
      <c r="C364" s="1" t="s">
        <v>558</v>
      </c>
      <c r="D364" s="1" t="str">
        <f>_xlfn.CONCAT(mmmm[[#This Row],[First Name]]," ",mmmm[[#This Row],[Last Name]])</f>
        <v>Shadi Altibae</v>
      </c>
      <c r="E364" s="19" t="s">
        <v>18</v>
      </c>
      <c r="F364" s="11">
        <v>43752</v>
      </c>
      <c r="G364" s="19">
        <v>6</v>
      </c>
      <c r="H364" s="19" t="s">
        <v>31</v>
      </c>
      <c r="I364" s="19" t="s">
        <v>20</v>
      </c>
      <c r="J364" s="1" t="s">
        <v>21</v>
      </c>
      <c r="K364" s="19">
        <v>1579</v>
      </c>
      <c r="L364" s="19">
        <v>18948</v>
      </c>
      <c r="M364" s="19">
        <v>3</v>
      </c>
      <c r="N364" s="19">
        <v>0</v>
      </c>
      <c r="O364" s="1">
        <v>0</v>
      </c>
      <c r="P364" s="19">
        <v>14</v>
      </c>
    </row>
    <row r="365" spans="1:16">
      <c r="A365" s="1">
        <v>364</v>
      </c>
      <c r="B365" s="1" t="s">
        <v>34</v>
      </c>
      <c r="C365" s="1" t="s">
        <v>559</v>
      </c>
      <c r="D365" s="1" t="str">
        <f>_xlfn.CONCAT(mmmm[[#This Row],[First Name]]," ",mmmm[[#This Row],[Last Name]])</f>
        <v>Ahmad Iidlibi</v>
      </c>
      <c r="E365" s="19" t="s">
        <v>18</v>
      </c>
      <c r="F365" s="11">
        <v>43622</v>
      </c>
      <c r="G365" s="19">
        <v>7</v>
      </c>
      <c r="H365" s="19" t="s">
        <v>60</v>
      </c>
      <c r="I365" s="19" t="s">
        <v>24</v>
      </c>
      <c r="J365" s="1" t="s">
        <v>560</v>
      </c>
      <c r="K365" s="19">
        <v>1255</v>
      </c>
      <c r="L365" s="19">
        <v>15060</v>
      </c>
      <c r="M365" s="19">
        <v>3</v>
      </c>
      <c r="N365" s="19">
        <v>6</v>
      </c>
      <c r="O365" s="1">
        <v>0</v>
      </c>
      <c r="P365" s="19">
        <v>0</v>
      </c>
    </row>
    <row r="366" spans="1:16">
      <c r="A366" s="1">
        <v>365</v>
      </c>
      <c r="B366" s="1" t="s">
        <v>199</v>
      </c>
      <c r="C366" s="1" t="s">
        <v>561</v>
      </c>
      <c r="D366" s="1" t="str">
        <f>_xlfn.CONCAT(mmmm[[#This Row],[First Name]]," ",mmmm[[#This Row],[Last Name]])</f>
        <v>Fadi Ghazzawi</v>
      </c>
      <c r="E366" s="19" t="s">
        <v>18</v>
      </c>
      <c r="F366" s="11">
        <v>43496</v>
      </c>
      <c r="G366" s="19">
        <v>7</v>
      </c>
      <c r="H366" s="19" t="s">
        <v>19</v>
      </c>
      <c r="I366" s="19" t="s">
        <v>20</v>
      </c>
      <c r="J366" s="1" t="s">
        <v>560</v>
      </c>
      <c r="K366" s="19">
        <v>3418</v>
      </c>
      <c r="L366" s="19">
        <v>41016</v>
      </c>
      <c r="M366" s="19">
        <v>3</v>
      </c>
      <c r="N366" s="19">
        <v>4</v>
      </c>
      <c r="O366" s="1">
        <v>0</v>
      </c>
      <c r="P366" s="19">
        <v>1</v>
      </c>
    </row>
    <row r="367" spans="1:16">
      <c r="A367" s="1">
        <v>366</v>
      </c>
      <c r="B367" s="1" t="s">
        <v>389</v>
      </c>
      <c r="C367" s="1" t="s">
        <v>562</v>
      </c>
      <c r="D367" s="1" t="str">
        <f>_xlfn.CONCAT(mmmm[[#This Row],[First Name]]," ",mmmm[[#This Row],[Last Name]])</f>
        <v>Basil Eabd Aleal</v>
      </c>
      <c r="E367" s="19" t="s">
        <v>18</v>
      </c>
      <c r="F367" s="11">
        <v>44165</v>
      </c>
      <c r="G367" s="19">
        <v>5</v>
      </c>
      <c r="H367" s="19" t="s">
        <v>60</v>
      </c>
      <c r="I367" s="19" t="s">
        <v>20</v>
      </c>
      <c r="J367" s="1" t="s">
        <v>560</v>
      </c>
      <c r="K367" s="19">
        <v>3368</v>
      </c>
      <c r="L367" s="19">
        <v>40416</v>
      </c>
      <c r="M367" s="19">
        <v>3</v>
      </c>
      <c r="N367" s="19">
        <v>0</v>
      </c>
      <c r="O367" s="1">
        <v>0</v>
      </c>
      <c r="P367" s="19">
        <v>8</v>
      </c>
    </row>
    <row r="368" spans="1:16">
      <c r="A368" s="1">
        <v>367</v>
      </c>
      <c r="B368" s="1" t="s">
        <v>563</v>
      </c>
      <c r="C368" s="1" t="s">
        <v>564</v>
      </c>
      <c r="D368" s="1" t="str">
        <f>_xlfn.CONCAT(mmmm[[#This Row],[First Name]]," ",mmmm[[#This Row],[Last Name]])</f>
        <v>Sali Musuh</v>
      </c>
      <c r="E368" s="19" t="s">
        <v>27</v>
      </c>
      <c r="F368" s="11">
        <v>43784</v>
      </c>
      <c r="G368" s="19">
        <v>6</v>
      </c>
      <c r="H368" s="19" t="s">
        <v>47</v>
      </c>
      <c r="I368" s="19" t="s">
        <v>32</v>
      </c>
      <c r="J368" s="1" t="s">
        <v>39</v>
      </c>
      <c r="K368" s="19">
        <v>3275</v>
      </c>
      <c r="L368" s="19">
        <v>39300</v>
      </c>
      <c r="M368" s="19">
        <v>3</v>
      </c>
      <c r="N368" s="19">
        <v>1</v>
      </c>
      <c r="O368" s="1">
        <v>2</v>
      </c>
      <c r="P368" s="19">
        <v>12</v>
      </c>
    </row>
    <row r="369" spans="1:16">
      <c r="A369" s="1">
        <v>368</v>
      </c>
      <c r="B369" s="1" t="s">
        <v>61</v>
      </c>
      <c r="C369" s="1" t="s">
        <v>371</v>
      </c>
      <c r="D369" s="1" t="str">
        <f>_xlfn.CONCAT(mmmm[[#This Row],[First Name]]," ",mmmm[[#This Row],[Last Name]])</f>
        <v>Alaa Iismaeil</v>
      </c>
      <c r="E369" s="19" t="s">
        <v>27</v>
      </c>
      <c r="F369" s="11">
        <v>44192</v>
      </c>
      <c r="G369" s="19">
        <v>5</v>
      </c>
      <c r="H369" s="19" t="s">
        <v>52</v>
      </c>
      <c r="I369" s="19" t="s">
        <v>32</v>
      </c>
      <c r="J369" s="1" t="s">
        <v>21</v>
      </c>
      <c r="K369" s="19">
        <v>3043</v>
      </c>
      <c r="L369" s="19">
        <v>36516</v>
      </c>
      <c r="M369" s="19">
        <v>2</v>
      </c>
      <c r="N369" s="19">
        <v>0</v>
      </c>
      <c r="O369" s="1">
        <v>0</v>
      </c>
      <c r="P369" s="19">
        <v>8</v>
      </c>
    </row>
    <row r="370" spans="1:16">
      <c r="A370" s="1">
        <v>369</v>
      </c>
      <c r="B370" s="1" t="s">
        <v>565</v>
      </c>
      <c r="C370" s="1" t="s">
        <v>566</v>
      </c>
      <c r="D370" s="1" t="str">
        <f>_xlfn.CONCAT(mmmm[[#This Row],[First Name]]," ",mmmm[[#This Row],[Last Name]])</f>
        <v>Maria Alhizae</v>
      </c>
      <c r="E370" s="19" t="s">
        <v>27</v>
      </c>
      <c r="F370" s="11">
        <v>43803</v>
      </c>
      <c r="G370" s="19">
        <v>6</v>
      </c>
      <c r="H370" s="19" t="s">
        <v>120</v>
      </c>
      <c r="I370" s="19" t="s">
        <v>296</v>
      </c>
      <c r="J370" s="1" t="s">
        <v>39</v>
      </c>
      <c r="K370" s="19">
        <v>1122</v>
      </c>
      <c r="L370" s="19">
        <v>13464</v>
      </c>
      <c r="M370" s="19">
        <v>4.5</v>
      </c>
      <c r="N370" s="19">
        <v>2</v>
      </c>
      <c r="O370" s="1">
        <v>4</v>
      </c>
      <c r="P370" s="19">
        <v>7</v>
      </c>
    </row>
    <row r="371" spans="1:16">
      <c r="A371" s="1">
        <v>370</v>
      </c>
      <c r="B371" s="1" t="s">
        <v>290</v>
      </c>
      <c r="C371" s="1" t="s">
        <v>567</v>
      </c>
      <c r="D371" s="1" t="str">
        <f>_xlfn.CONCAT(mmmm[[#This Row],[First Name]]," ",mmmm[[#This Row],[Last Name]])</f>
        <v>Ghazal Alghan</v>
      </c>
      <c r="E371" s="19" t="s">
        <v>27</v>
      </c>
      <c r="F371" s="11">
        <v>43183</v>
      </c>
      <c r="G371" s="19">
        <v>8</v>
      </c>
      <c r="H371" s="19" t="s">
        <v>31</v>
      </c>
      <c r="I371" s="19" t="s">
        <v>20</v>
      </c>
      <c r="J371" s="1" t="s">
        <v>33</v>
      </c>
      <c r="K371" s="19">
        <v>764</v>
      </c>
      <c r="L371" s="19">
        <v>9168</v>
      </c>
      <c r="M371" s="19">
        <v>5</v>
      </c>
      <c r="N371" s="19">
        <v>4</v>
      </c>
      <c r="O371" s="1">
        <v>1</v>
      </c>
      <c r="P371" s="19">
        <v>13</v>
      </c>
    </row>
    <row r="372" spans="1:16">
      <c r="A372" s="1">
        <v>371</v>
      </c>
      <c r="B372" s="1" t="s">
        <v>91</v>
      </c>
      <c r="C372" s="1" t="s">
        <v>568</v>
      </c>
      <c r="D372" s="1" t="str">
        <f>_xlfn.CONCAT(mmmm[[#This Row],[First Name]]," ",mmmm[[#This Row],[Last Name]])</f>
        <v>Eala Mitri</v>
      </c>
      <c r="E372" s="19" t="s">
        <v>27</v>
      </c>
      <c r="F372" s="11">
        <v>43498</v>
      </c>
      <c r="G372" s="19">
        <v>7</v>
      </c>
      <c r="H372" s="19" t="s">
        <v>44</v>
      </c>
      <c r="I372" s="19" t="s">
        <v>24</v>
      </c>
      <c r="J372" s="1" t="s">
        <v>39</v>
      </c>
      <c r="K372" s="19">
        <v>2879</v>
      </c>
      <c r="L372" s="19">
        <v>34548</v>
      </c>
      <c r="M372" s="19">
        <v>2</v>
      </c>
      <c r="N372" s="19">
        <v>0</v>
      </c>
      <c r="O372" s="1">
        <v>0</v>
      </c>
      <c r="P372" s="19">
        <v>8</v>
      </c>
    </row>
    <row r="373" spans="1:16">
      <c r="A373" s="1">
        <v>372</v>
      </c>
      <c r="B373" s="1" t="s">
        <v>36</v>
      </c>
      <c r="C373" s="1" t="s">
        <v>569</v>
      </c>
      <c r="D373" s="1" t="str">
        <f>_xlfn.CONCAT(mmmm[[#This Row],[First Name]]," ",mmmm[[#This Row],[Last Name]])</f>
        <v>Muhamad Aleliwi</v>
      </c>
      <c r="E373" s="19" t="s">
        <v>18</v>
      </c>
      <c r="F373" s="11">
        <v>43886</v>
      </c>
      <c r="G373" s="19">
        <v>6</v>
      </c>
      <c r="H373" s="19" t="s">
        <v>31</v>
      </c>
      <c r="I373" s="19" t="s">
        <v>32</v>
      </c>
      <c r="J373" s="1" t="s">
        <v>21</v>
      </c>
      <c r="K373" s="19">
        <v>2252</v>
      </c>
      <c r="L373" s="19">
        <v>27024</v>
      </c>
      <c r="M373" s="19">
        <v>3</v>
      </c>
      <c r="N373" s="19">
        <v>1</v>
      </c>
      <c r="O373" s="1">
        <v>0</v>
      </c>
      <c r="P373" s="19">
        <v>50</v>
      </c>
    </row>
    <row r="374" spans="1:16">
      <c r="A374" s="1">
        <v>373</v>
      </c>
      <c r="B374" s="1" t="s">
        <v>34</v>
      </c>
      <c r="C374" s="1" t="s">
        <v>144</v>
      </c>
      <c r="D374" s="1" t="str">
        <f>_xlfn.CONCAT(mmmm[[#This Row],[First Name]]," ",mmmm[[#This Row],[Last Name]])</f>
        <v>Ahmad Almisri</v>
      </c>
      <c r="E374" s="19" t="s">
        <v>18</v>
      </c>
      <c r="F374" s="11">
        <v>43413</v>
      </c>
      <c r="G374" s="19">
        <v>7</v>
      </c>
      <c r="H374" s="19" t="s">
        <v>38</v>
      </c>
      <c r="I374" s="19" t="s">
        <v>32</v>
      </c>
      <c r="J374" s="1" t="s">
        <v>62</v>
      </c>
      <c r="K374" s="19">
        <v>2149</v>
      </c>
      <c r="L374" s="19">
        <v>25788</v>
      </c>
      <c r="M374" s="19">
        <v>3</v>
      </c>
      <c r="N374" s="19">
        <v>0</v>
      </c>
      <c r="O374" s="1">
        <v>0</v>
      </c>
      <c r="P374" s="19">
        <v>1</v>
      </c>
    </row>
    <row r="375" spans="1:16">
      <c r="A375" s="1">
        <v>374</v>
      </c>
      <c r="B375" s="1" t="s">
        <v>34</v>
      </c>
      <c r="C375" s="1" t="s">
        <v>570</v>
      </c>
      <c r="D375" s="1" t="str">
        <f>_xlfn.CONCAT(mmmm[[#This Row],[First Name]]," ",mmmm[[#This Row],[Last Name]])</f>
        <v>Ahmad Aldwltali</v>
      </c>
      <c r="E375" s="19" t="s">
        <v>18</v>
      </c>
      <c r="F375" s="11">
        <v>43777</v>
      </c>
      <c r="G375" s="19">
        <v>6</v>
      </c>
      <c r="H375" s="19" t="s">
        <v>202</v>
      </c>
      <c r="I375" s="19" t="s">
        <v>32</v>
      </c>
      <c r="J375" s="1" t="s">
        <v>33</v>
      </c>
      <c r="K375" s="19">
        <v>2428</v>
      </c>
      <c r="L375" s="19">
        <v>29136</v>
      </c>
      <c r="M375" s="19">
        <v>5</v>
      </c>
      <c r="N375" s="19">
        <v>0</v>
      </c>
      <c r="O375" s="1">
        <v>0</v>
      </c>
      <c r="P375" s="19">
        <v>35</v>
      </c>
    </row>
    <row r="376" spans="1:16">
      <c r="A376" s="1">
        <v>375</v>
      </c>
      <c r="B376" s="1" t="s">
        <v>36</v>
      </c>
      <c r="C376" s="1" t="s">
        <v>571</v>
      </c>
      <c r="D376" s="1" t="str">
        <f>_xlfn.CONCAT(mmmm[[#This Row],[First Name]]," ",mmmm[[#This Row],[Last Name]])</f>
        <v>Muhamad Udib</v>
      </c>
      <c r="E376" s="19" t="s">
        <v>18</v>
      </c>
      <c r="F376" s="11">
        <v>43750</v>
      </c>
      <c r="G376" s="19">
        <v>6</v>
      </c>
      <c r="H376" s="19" t="s">
        <v>31</v>
      </c>
      <c r="I376" s="19" t="s">
        <v>20</v>
      </c>
      <c r="J376" s="1" t="s">
        <v>33</v>
      </c>
      <c r="K376" s="19">
        <v>3240</v>
      </c>
      <c r="L376" s="19">
        <v>38880</v>
      </c>
      <c r="M376" s="19">
        <v>5</v>
      </c>
      <c r="N376" s="19">
        <v>0</v>
      </c>
      <c r="O376" s="1">
        <v>0</v>
      </c>
      <c r="P376" s="19">
        <v>6</v>
      </c>
    </row>
    <row r="377" spans="1:16">
      <c r="A377" s="1">
        <v>376</v>
      </c>
      <c r="B377" s="1" t="s">
        <v>61</v>
      </c>
      <c r="C377" s="1" t="s">
        <v>572</v>
      </c>
      <c r="D377" s="1" t="str">
        <f>_xlfn.CONCAT(mmmm[[#This Row],[First Name]]," ",mmmm[[#This Row],[Last Name]])</f>
        <v>Alaa Yuzbik</v>
      </c>
      <c r="E377" s="19" t="s">
        <v>27</v>
      </c>
      <c r="F377" s="11">
        <v>43170</v>
      </c>
      <c r="G377" s="19">
        <v>8</v>
      </c>
      <c r="H377" s="19" t="s">
        <v>44</v>
      </c>
      <c r="I377" s="19" t="s">
        <v>20</v>
      </c>
      <c r="J377" s="1" t="s">
        <v>560</v>
      </c>
      <c r="K377" s="19">
        <v>1448</v>
      </c>
      <c r="L377" s="19">
        <v>17376</v>
      </c>
      <c r="M377" s="19">
        <v>3</v>
      </c>
      <c r="N377" s="19">
        <v>4</v>
      </c>
      <c r="O377" s="1">
        <v>0</v>
      </c>
      <c r="P377" s="19">
        <v>10</v>
      </c>
    </row>
    <row r="378" spans="1:16">
      <c r="A378" s="1">
        <v>377</v>
      </c>
      <c r="B378" s="1" t="s">
        <v>66</v>
      </c>
      <c r="C378" s="1" t="s">
        <v>573</v>
      </c>
      <c r="D378" s="1" t="str">
        <f>_xlfn.CONCAT(mmmm[[#This Row],[First Name]]," ",mmmm[[#This Row],[Last Name]])</f>
        <v>Husayn Zaerur</v>
      </c>
      <c r="E378" s="19" t="s">
        <v>18</v>
      </c>
      <c r="F378" s="11">
        <v>44044</v>
      </c>
      <c r="G378" s="19">
        <v>6</v>
      </c>
      <c r="H378" s="19" t="s">
        <v>31</v>
      </c>
      <c r="I378" s="19" t="s">
        <v>20</v>
      </c>
      <c r="J378" s="1" t="s">
        <v>560</v>
      </c>
      <c r="K378" s="19">
        <v>2409</v>
      </c>
      <c r="L378" s="19">
        <v>28908</v>
      </c>
      <c r="M378" s="19">
        <v>3</v>
      </c>
      <c r="N378" s="19">
        <v>3</v>
      </c>
      <c r="O378" s="1">
        <v>3</v>
      </c>
      <c r="P378" s="19">
        <v>3</v>
      </c>
    </row>
    <row r="379" spans="1:16">
      <c r="A379" s="1">
        <v>378</v>
      </c>
      <c r="B379" s="1" t="s">
        <v>336</v>
      </c>
      <c r="C379" s="1" t="s">
        <v>574</v>
      </c>
      <c r="D379" s="1" t="str">
        <f>_xlfn.CONCAT(mmmm[[#This Row],[First Name]]," ",mmmm[[#This Row],[Last Name]])</f>
        <v>Saeid Mazlum</v>
      </c>
      <c r="E379" s="19" t="s">
        <v>18</v>
      </c>
      <c r="F379" s="11">
        <v>43741</v>
      </c>
      <c r="G379" s="19">
        <v>6</v>
      </c>
      <c r="H379" s="19" t="s">
        <v>90</v>
      </c>
      <c r="I379" s="19" t="s">
        <v>32</v>
      </c>
      <c r="J379" s="1" t="s">
        <v>62</v>
      </c>
      <c r="K379" s="19">
        <v>3030</v>
      </c>
      <c r="L379" s="19">
        <v>36360</v>
      </c>
      <c r="M379" s="19">
        <v>2</v>
      </c>
      <c r="N379" s="19">
        <v>6</v>
      </c>
      <c r="O379" s="1">
        <v>0</v>
      </c>
      <c r="P379" s="19">
        <v>5</v>
      </c>
    </row>
    <row r="380" spans="1:16">
      <c r="A380" s="1">
        <v>379</v>
      </c>
      <c r="B380" s="1" t="s">
        <v>34</v>
      </c>
      <c r="C380" s="1" t="s">
        <v>575</v>
      </c>
      <c r="D380" s="1" t="str">
        <f>_xlfn.CONCAT(mmmm[[#This Row],[First Name]]," ",mmmm[[#This Row],[Last Name]])</f>
        <v>Ahmad Alghurani</v>
      </c>
      <c r="E380" s="19" t="s">
        <v>18</v>
      </c>
      <c r="F380" s="11">
        <v>44092</v>
      </c>
      <c r="G380" s="19">
        <v>5</v>
      </c>
      <c r="H380" s="19" t="s">
        <v>31</v>
      </c>
      <c r="I380" s="19" t="s">
        <v>32</v>
      </c>
      <c r="J380" s="1" t="s">
        <v>39</v>
      </c>
      <c r="K380" s="19">
        <v>2544</v>
      </c>
      <c r="L380" s="19">
        <v>30528</v>
      </c>
      <c r="M380" s="19">
        <v>5</v>
      </c>
      <c r="N380" s="19">
        <v>0</v>
      </c>
      <c r="O380" s="1">
        <v>0</v>
      </c>
      <c r="P380" s="19">
        <v>11</v>
      </c>
    </row>
    <row r="381" spans="1:16">
      <c r="A381" s="1">
        <v>380</v>
      </c>
      <c r="B381" s="1" t="s">
        <v>576</v>
      </c>
      <c r="C381" s="1" t="s">
        <v>34</v>
      </c>
      <c r="D381" s="1" t="str">
        <f>_xlfn.CONCAT(mmmm[[#This Row],[First Name]]," ",mmmm[[#This Row],[Last Name]])</f>
        <v>Abd Alsamad Ahmad</v>
      </c>
      <c r="E381" s="19" t="s">
        <v>18</v>
      </c>
      <c r="F381" s="11">
        <v>42778</v>
      </c>
      <c r="G381" s="19">
        <v>9</v>
      </c>
      <c r="H381" s="19" t="s">
        <v>55</v>
      </c>
      <c r="I381" s="19" t="s">
        <v>20</v>
      </c>
      <c r="J381" s="1" t="s">
        <v>21</v>
      </c>
      <c r="K381" s="19">
        <v>2872</v>
      </c>
      <c r="L381" s="19">
        <v>34464</v>
      </c>
      <c r="M381" s="19">
        <v>4.5</v>
      </c>
      <c r="N381" s="19">
        <v>5</v>
      </c>
      <c r="O381" s="1">
        <v>0</v>
      </c>
      <c r="P381" s="19">
        <v>7</v>
      </c>
    </row>
    <row r="382" spans="1:16">
      <c r="A382" s="1">
        <v>381</v>
      </c>
      <c r="B382" s="1" t="s">
        <v>304</v>
      </c>
      <c r="C382" s="1" t="s">
        <v>577</v>
      </c>
      <c r="D382" s="1" t="str">
        <f>_xlfn.CONCAT(mmmm[[#This Row],[First Name]]," ",mmmm[[#This Row],[Last Name]])</f>
        <v>Amir Alhasan</v>
      </c>
      <c r="E382" s="19" t="s">
        <v>18</v>
      </c>
      <c r="F382" s="11">
        <v>43468</v>
      </c>
      <c r="G382" s="19">
        <v>7</v>
      </c>
      <c r="H382" s="19" t="s">
        <v>38</v>
      </c>
      <c r="I382" s="19" t="s">
        <v>20</v>
      </c>
      <c r="J382" s="1" t="s">
        <v>62</v>
      </c>
      <c r="K382" s="19">
        <v>2263</v>
      </c>
      <c r="L382" s="19">
        <v>27156</v>
      </c>
      <c r="M382" s="19">
        <v>4.5</v>
      </c>
      <c r="N382" s="19">
        <v>0</v>
      </c>
      <c r="O382" s="1">
        <v>0</v>
      </c>
      <c r="P382" s="19">
        <v>8</v>
      </c>
    </row>
    <row r="383" spans="1:16">
      <c r="A383" s="1">
        <v>382</v>
      </c>
      <c r="B383" s="1" t="s">
        <v>61</v>
      </c>
      <c r="C383" s="1" t="s">
        <v>578</v>
      </c>
      <c r="D383" s="1" t="str">
        <f>_xlfn.CONCAT(mmmm[[#This Row],[First Name]]," ",mmmm[[#This Row],[Last Name]])</f>
        <v>Alaa Altahhan</v>
      </c>
      <c r="E383" s="19" t="s">
        <v>27</v>
      </c>
      <c r="F383" s="11">
        <v>43704</v>
      </c>
      <c r="G383" s="19">
        <v>6</v>
      </c>
      <c r="H383" s="19" t="s">
        <v>19</v>
      </c>
      <c r="I383" s="19" t="s">
        <v>32</v>
      </c>
      <c r="J383" s="1" t="s">
        <v>560</v>
      </c>
      <c r="K383" s="19">
        <v>2136</v>
      </c>
      <c r="L383" s="19">
        <v>25632</v>
      </c>
      <c r="M383" s="19">
        <v>5</v>
      </c>
      <c r="N383" s="19">
        <v>4</v>
      </c>
      <c r="O383" s="1">
        <v>0</v>
      </c>
      <c r="P383" s="19">
        <v>12</v>
      </c>
    </row>
    <row r="384" spans="1:16">
      <c r="A384" s="1">
        <v>383</v>
      </c>
      <c r="B384" s="1" t="s">
        <v>51</v>
      </c>
      <c r="C384" s="1" t="s">
        <v>579</v>
      </c>
      <c r="D384" s="1" t="str">
        <f>_xlfn.CONCAT(mmmm[[#This Row],[First Name]]," ",mmmm[[#This Row],[Last Name]])</f>
        <v>Iad Mahfud</v>
      </c>
      <c r="E384" s="19" t="s">
        <v>18</v>
      </c>
      <c r="F384" s="11">
        <v>42940</v>
      </c>
      <c r="G384" s="19">
        <v>9</v>
      </c>
      <c r="H384" s="19" t="s">
        <v>31</v>
      </c>
      <c r="I384" s="19" t="s">
        <v>20</v>
      </c>
      <c r="J384" s="1" t="s">
        <v>33</v>
      </c>
      <c r="K384" s="19">
        <v>2379</v>
      </c>
      <c r="L384" s="19">
        <v>28548</v>
      </c>
      <c r="M384" s="19">
        <v>4.5</v>
      </c>
      <c r="N384" s="19">
        <v>1</v>
      </c>
      <c r="O384" s="1">
        <v>0</v>
      </c>
      <c r="P384" s="19">
        <v>10</v>
      </c>
    </row>
    <row r="385" spans="1:16">
      <c r="A385" s="1">
        <v>384</v>
      </c>
      <c r="B385" s="1" t="s">
        <v>580</v>
      </c>
      <c r="C385" s="1" t="s">
        <v>581</v>
      </c>
      <c r="D385" s="1" t="str">
        <f>_xlfn.CONCAT(mmmm[[#This Row],[First Name]]," ",mmmm[[#This Row],[Last Name]])</f>
        <v>Sarah Damrani</v>
      </c>
      <c r="E385" s="19" t="s">
        <v>27</v>
      </c>
      <c r="F385" s="11">
        <v>44036</v>
      </c>
      <c r="G385" s="19">
        <v>6</v>
      </c>
      <c r="H385" s="19" t="s">
        <v>44</v>
      </c>
      <c r="I385" s="19" t="s">
        <v>20</v>
      </c>
      <c r="J385" s="1" t="s">
        <v>39</v>
      </c>
      <c r="K385" s="19">
        <v>1940</v>
      </c>
      <c r="L385" s="19">
        <v>23280</v>
      </c>
      <c r="M385" s="19">
        <v>3</v>
      </c>
      <c r="N385" s="19">
        <v>4</v>
      </c>
      <c r="O385" s="1">
        <v>6</v>
      </c>
      <c r="P385" s="19">
        <v>5</v>
      </c>
    </row>
    <row r="386" spans="1:16">
      <c r="A386" s="1">
        <v>385</v>
      </c>
      <c r="B386" s="1" t="s">
        <v>358</v>
      </c>
      <c r="C386" s="1" t="s">
        <v>582</v>
      </c>
      <c r="D386" s="1" t="str">
        <f>_xlfn.CONCAT(mmmm[[#This Row],[First Name]]," ",mmmm[[#This Row],[Last Name]])</f>
        <v>Husam Aldubus</v>
      </c>
      <c r="E386" s="19" t="s">
        <v>18</v>
      </c>
      <c r="F386" s="11">
        <v>43603</v>
      </c>
      <c r="G386" s="19">
        <v>7</v>
      </c>
      <c r="H386" s="19" t="s">
        <v>55</v>
      </c>
      <c r="I386" s="19" t="s">
        <v>20</v>
      </c>
      <c r="J386" s="1" t="s">
        <v>33</v>
      </c>
      <c r="K386" s="19">
        <v>1558</v>
      </c>
      <c r="L386" s="19">
        <v>18696</v>
      </c>
      <c r="M386" s="19">
        <v>2</v>
      </c>
      <c r="N386" s="19">
        <v>0</v>
      </c>
      <c r="O386" s="1">
        <v>6</v>
      </c>
      <c r="P386" s="19">
        <v>9</v>
      </c>
    </row>
    <row r="387" spans="1:16">
      <c r="A387" s="1">
        <v>386</v>
      </c>
      <c r="B387" s="1" t="s">
        <v>34</v>
      </c>
      <c r="C387" s="1" t="s">
        <v>583</v>
      </c>
      <c r="D387" s="1" t="str">
        <f>_xlfn.CONCAT(mmmm[[#This Row],[First Name]]," ",mmmm[[#This Row],[Last Name]])</f>
        <v>Ahmad Zynu</v>
      </c>
      <c r="E387" s="19" t="s">
        <v>18</v>
      </c>
      <c r="F387" s="11">
        <v>43563</v>
      </c>
      <c r="G387" s="19">
        <v>7</v>
      </c>
      <c r="H387" s="19" t="s">
        <v>52</v>
      </c>
      <c r="I387" s="19" t="s">
        <v>20</v>
      </c>
      <c r="J387" s="1" t="s">
        <v>39</v>
      </c>
      <c r="K387" s="19">
        <v>1341</v>
      </c>
      <c r="L387" s="19">
        <v>16092</v>
      </c>
      <c r="M387" s="19">
        <v>5</v>
      </c>
      <c r="N387" s="19">
        <v>3</v>
      </c>
      <c r="O387" s="1">
        <v>0</v>
      </c>
      <c r="P387" s="19">
        <v>8</v>
      </c>
    </row>
    <row r="388" spans="1:16">
      <c r="A388" s="1">
        <v>387</v>
      </c>
      <c r="B388" s="1" t="s">
        <v>584</v>
      </c>
      <c r="C388" s="1" t="s">
        <v>82</v>
      </c>
      <c r="D388" s="1" t="str">
        <f>_xlfn.CONCAT(mmmm[[#This Row],[First Name]]," ",mmmm[[#This Row],[Last Name]])</f>
        <v>Lwy Abu</v>
      </c>
      <c r="E388" s="19" t="s">
        <v>18</v>
      </c>
      <c r="F388" s="11">
        <v>43566</v>
      </c>
      <c r="G388" s="19">
        <v>7</v>
      </c>
      <c r="H388" s="19" t="s">
        <v>31</v>
      </c>
      <c r="I388" s="19" t="s">
        <v>20</v>
      </c>
      <c r="J388" s="1" t="s">
        <v>33</v>
      </c>
      <c r="K388" s="19">
        <v>1703</v>
      </c>
      <c r="L388" s="19">
        <v>20436</v>
      </c>
      <c r="M388" s="19">
        <v>5</v>
      </c>
      <c r="N388" s="19">
        <v>2</v>
      </c>
      <c r="O388" s="1">
        <v>0</v>
      </c>
      <c r="P388" s="19">
        <v>10</v>
      </c>
    </row>
    <row r="389" spans="1:16">
      <c r="A389" s="1">
        <v>388</v>
      </c>
      <c r="B389" s="1" t="s">
        <v>197</v>
      </c>
      <c r="C389" s="1" t="s">
        <v>585</v>
      </c>
      <c r="D389" s="1" t="str">
        <f>_xlfn.CONCAT(mmmm[[#This Row],[First Name]]," ",mmmm[[#This Row],[Last Name]])</f>
        <v>Tariq Shams</v>
      </c>
      <c r="E389" s="19" t="s">
        <v>18</v>
      </c>
      <c r="F389" s="11">
        <v>44032</v>
      </c>
      <c r="G389" s="19">
        <v>6</v>
      </c>
      <c r="H389" s="19" t="s">
        <v>90</v>
      </c>
      <c r="I389" s="19" t="s">
        <v>20</v>
      </c>
      <c r="J389" s="1" t="s">
        <v>39</v>
      </c>
      <c r="K389" s="19">
        <v>3282</v>
      </c>
      <c r="L389" s="19">
        <v>39384</v>
      </c>
      <c r="M389" s="19">
        <v>1</v>
      </c>
      <c r="N389" s="19">
        <v>0</v>
      </c>
      <c r="O389" s="1">
        <v>0</v>
      </c>
      <c r="P389" s="19">
        <v>2</v>
      </c>
    </row>
    <row r="390" spans="1:16">
      <c r="A390" s="1">
        <v>389</v>
      </c>
      <c r="B390" s="1" t="s">
        <v>36</v>
      </c>
      <c r="C390" s="1" t="s">
        <v>292</v>
      </c>
      <c r="D390" s="1" t="str">
        <f>_xlfn.CONCAT(mmmm[[#This Row],[First Name]]," ",mmmm[[#This Row],[Last Name]])</f>
        <v>Muhamad Khalil</v>
      </c>
      <c r="E390" s="19" t="s">
        <v>18</v>
      </c>
      <c r="F390" s="11">
        <v>43895</v>
      </c>
      <c r="G390" s="19">
        <v>6</v>
      </c>
      <c r="H390" s="19" t="s">
        <v>42</v>
      </c>
      <c r="I390" s="19" t="s">
        <v>20</v>
      </c>
      <c r="J390" s="1" t="s">
        <v>21</v>
      </c>
      <c r="K390" s="19">
        <v>3125</v>
      </c>
      <c r="L390" s="19">
        <v>37500</v>
      </c>
      <c r="M390" s="19">
        <v>2</v>
      </c>
      <c r="N390" s="19">
        <v>6</v>
      </c>
      <c r="O390" s="1">
        <v>3</v>
      </c>
      <c r="P390" s="19">
        <v>0</v>
      </c>
    </row>
    <row r="391" spans="1:16">
      <c r="A391" s="1">
        <v>390</v>
      </c>
      <c r="B391" s="1" t="s">
        <v>193</v>
      </c>
      <c r="C391" s="1" t="s">
        <v>462</v>
      </c>
      <c r="D391" s="1" t="str">
        <f>_xlfn.CONCAT(mmmm[[#This Row],[First Name]]," ",mmmm[[#This Row],[Last Name]])</f>
        <v>Amal Alhusayn</v>
      </c>
      <c r="E391" s="19" t="s">
        <v>27</v>
      </c>
      <c r="F391" s="11">
        <v>43958</v>
      </c>
      <c r="G391" s="19">
        <v>6</v>
      </c>
      <c r="H391" s="19" t="s">
        <v>44</v>
      </c>
      <c r="I391" s="19" t="s">
        <v>32</v>
      </c>
      <c r="J391" s="1" t="s">
        <v>21</v>
      </c>
      <c r="K391" s="19">
        <v>2232</v>
      </c>
      <c r="L391" s="19">
        <v>26784</v>
      </c>
      <c r="M391" s="19">
        <v>4.5</v>
      </c>
      <c r="N391" s="19">
        <v>0</v>
      </c>
      <c r="O391" s="1">
        <v>0</v>
      </c>
      <c r="P391" s="19">
        <v>7</v>
      </c>
    </row>
    <row r="392" spans="1:16">
      <c r="A392" s="1">
        <v>391</v>
      </c>
      <c r="B392" s="1" t="s">
        <v>199</v>
      </c>
      <c r="C392" s="1" t="s">
        <v>586</v>
      </c>
      <c r="D392" s="1" t="str">
        <f>_xlfn.CONCAT(mmmm[[#This Row],[First Name]]," ",mmmm[[#This Row],[Last Name]])</f>
        <v>Fadi Shakur</v>
      </c>
      <c r="E392" s="19" t="s">
        <v>18</v>
      </c>
      <c r="F392" s="11">
        <v>42823</v>
      </c>
      <c r="G392" s="19">
        <v>9</v>
      </c>
      <c r="H392" s="19" t="s">
        <v>79</v>
      </c>
      <c r="I392" s="19" t="s">
        <v>50</v>
      </c>
      <c r="J392" s="1" t="s">
        <v>33</v>
      </c>
      <c r="K392" s="19">
        <v>2513</v>
      </c>
      <c r="L392" s="19">
        <v>30156</v>
      </c>
      <c r="M392" s="19">
        <v>4.5</v>
      </c>
      <c r="N392" s="19">
        <v>2</v>
      </c>
      <c r="O392" s="1">
        <v>0</v>
      </c>
      <c r="P392" s="19">
        <v>8</v>
      </c>
    </row>
    <row r="393" spans="1:16">
      <c r="A393" s="1">
        <v>392</v>
      </c>
      <c r="B393" s="1" t="s">
        <v>587</v>
      </c>
      <c r="C393" s="1" t="s">
        <v>588</v>
      </c>
      <c r="D393" s="1" t="str">
        <f>_xlfn.CONCAT(mmmm[[#This Row],[First Name]]," ",mmmm[[#This Row],[Last Name]])</f>
        <v>Abdalhai Sarhan</v>
      </c>
      <c r="E393" s="19" t="s">
        <v>18</v>
      </c>
      <c r="F393" s="11">
        <v>42788</v>
      </c>
      <c r="G393" s="19">
        <v>9</v>
      </c>
      <c r="H393" s="19" t="s">
        <v>55</v>
      </c>
      <c r="I393" s="19" t="s">
        <v>50</v>
      </c>
      <c r="J393" s="1" t="s">
        <v>62</v>
      </c>
      <c r="K393" s="19">
        <v>2818</v>
      </c>
      <c r="L393" s="19">
        <v>33816</v>
      </c>
      <c r="M393" s="19">
        <v>2</v>
      </c>
      <c r="N393" s="19">
        <v>4</v>
      </c>
      <c r="O393" s="1">
        <v>0</v>
      </c>
      <c r="P393" s="19">
        <v>8</v>
      </c>
    </row>
    <row r="394" spans="1:16">
      <c r="A394" s="1">
        <v>393</v>
      </c>
      <c r="B394" s="1" t="s">
        <v>34</v>
      </c>
      <c r="C394" s="1" t="s">
        <v>327</v>
      </c>
      <c r="D394" s="1" t="str">
        <f>_xlfn.CONCAT(mmmm[[#This Row],[First Name]]," ",mmmm[[#This Row],[Last Name]])</f>
        <v>Ahmad Alqadi</v>
      </c>
      <c r="E394" s="19" t="s">
        <v>18</v>
      </c>
      <c r="F394" s="11">
        <v>43240</v>
      </c>
      <c r="G394" s="19">
        <v>8</v>
      </c>
      <c r="H394" s="19" t="s">
        <v>79</v>
      </c>
      <c r="I394" s="19" t="s">
        <v>20</v>
      </c>
      <c r="J394" s="1" t="s">
        <v>39</v>
      </c>
      <c r="K394" s="19">
        <v>2257</v>
      </c>
      <c r="L394" s="19">
        <v>27084</v>
      </c>
      <c r="M394" s="19">
        <v>3</v>
      </c>
      <c r="N394" s="19">
        <v>0</v>
      </c>
      <c r="O394" s="1">
        <v>0</v>
      </c>
      <c r="P394" s="19">
        <v>6</v>
      </c>
    </row>
    <row r="395" spans="1:16">
      <c r="A395" s="1">
        <v>394</v>
      </c>
      <c r="B395" s="1" t="s">
        <v>358</v>
      </c>
      <c r="C395" s="1" t="s">
        <v>589</v>
      </c>
      <c r="D395" s="1" t="str">
        <f>_xlfn.CONCAT(mmmm[[#This Row],[First Name]]," ",mmmm[[#This Row],[Last Name]])</f>
        <v>Husam Albush</v>
      </c>
      <c r="E395" s="19" t="s">
        <v>18</v>
      </c>
      <c r="F395" s="11">
        <v>43944</v>
      </c>
      <c r="G395" s="19">
        <v>6</v>
      </c>
      <c r="H395" s="19" t="s">
        <v>44</v>
      </c>
      <c r="I395" s="19" t="s">
        <v>20</v>
      </c>
      <c r="J395" s="1" t="s">
        <v>33</v>
      </c>
      <c r="K395" s="19">
        <v>1265</v>
      </c>
      <c r="L395" s="19">
        <v>15180</v>
      </c>
      <c r="M395" s="19">
        <v>3</v>
      </c>
      <c r="N395" s="19">
        <v>0</v>
      </c>
      <c r="O395" s="1">
        <v>0</v>
      </c>
      <c r="P395" s="19">
        <v>5</v>
      </c>
    </row>
    <row r="396" spans="1:16">
      <c r="A396" s="1">
        <v>395</v>
      </c>
      <c r="B396" s="1" t="s">
        <v>590</v>
      </c>
      <c r="C396" s="1" t="s">
        <v>591</v>
      </c>
      <c r="D396" s="1" t="str">
        <f>_xlfn.CONCAT(mmmm[[#This Row],[First Name]]," ",mmmm[[#This Row],[Last Name]])</f>
        <v>Anas Eabidin</v>
      </c>
      <c r="E396" s="19" t="s">
        <v>18</v>
      </c>
      <c r="F396" s="11">
        <v>44130</v>
      </c>
      <c r="G396" s="19">
        <v>5</v>
      </c>
      <c r="H396" s="19" t="s">
        <v>75</v>
      </c>
      <c r="I396" s="19" t="s">
        <v>32</v>
      </c>
      <c r="J396" s="1" t="s">
        <v>33</v>
      </c>
      <c r="K396" s="19">
        <v>2207</v>
      </c>
      <c r="L396" s="19">
        <v>26484</v>
      </c>
      <c r="M396" s="19">
        <v>3</v>
      </c>
      <c r="N396" s="19">
        <v>2</v>
      </c>
      <c r="O396" s="1">
        <v>0</v>
      </c>
      <c r="P396" s="19">
        <v>0</v>
      </c>
    </row>
    <row r="397" spans="1:16">
      <c r="A397" s="1">
        <v>396</v>
      </c>
      <c r="B397" s="1" t="s">
        <v>36</v>
      </c>
      <c r="C397" s="1" t="s">
        <v>592</v>
      </c>
      <c r="D397" s="1" t="str">
        <f>_xlfn.CONCAT(mmmm[[#This Row],[First Name]]," ",mmmm[[#This Row],[Last Name]])</f>
        <v>Muhamad Ebdalwahd</v>
      </c>
      <c r="E397" s="19" t="s">
        <v>18</v>
      </c>
      <c r="F397" s="11">
        <v>43500</v>
      </c>
      <c r="G397" s="19">
        <v>7</v>
      </c>
      <c r="H397" s="19" t="s">
        <v>60</v>
      </c>
      <c r="I397" s="19" t="s">
        <v>20</v>
      </c>
      <c r="J397" s="1" t="s">
        <v>39</v>
      </c>
      <c r="K397" s="19">
        <v>2806</v>
      </c>
      <c r="L397" s="19">
        <v>33672</v>
      </c>
      <c r="M397" s="19">
        <v>3</v>
      </c>
      <c r="N397" s="19">
        <v>0</v>
      </c>
      <c r="O397" s="1">
        <v>0</v>
      </c>
      <c r="P397" s="19">
        <v>4</v>
      </c>
    </row>
    <row r="398" spans="1:16">
      <c r="A398" s="1">
        <v>397</v>
      </c>
      <c r="B398" s="1" t="s">
        <v>167</v>
      </c>
      <c r="C398" s="1" t="s">
        <v>281</v>
      </c>
      <c r="D398" s="1" t="str">
        <f>_xlfn.CONCAT(mmmm[[#This Row],[First Name]]," ",mmmm[[#This Row],[Last Name]])</f>
        <v>Khalid Iibrahim</v>
      </c>
      <c r="E398" s="19" t="s">
        <v>18</v>
      </c>
      <c r="F398" s="11">
        <v>42781</v>
      </c>
      <c r="G398" s="19">
        <v>9</v>
      </c>
      <c r="H398" s="19" t="s">
        <v>165</v>
      </c>
      <c r="I398" s="19" t="s">
        <v>32</v>
      </c>
      <c r="J398" s="1" t="s">
        <v>62</v>
      </c>
      <c r="K398" s="19">
        <v>1521</v>
      </c>
      <c r="L398" s="19">
        <v>18252</v>
      </c>
      <c r="M398" s="19">
        <v>5</v>
      </c>
      <c r="N398" s="19">
        <v>6</v>
      </c>
      <c r="O398" s="1">
        <v>0</v>
      </c>
      <c r="P398" s="19">
        <v>3</v>
      </c>
    </row>
    <row r="399" spans="1:16">
      <c r="A399" s="1">
        <v>398</v>
      </c>
      <c r="B399" s="1" t="s">
        <v>36</v>
      </c>
      <c r="C399" s="1" t="s">
        <v>593</v>
      </c>
      <c r="D399" s="1" t="str">
        <f>_xlfn.CONCAT(mmmm[[#This Row],[First Name]]," ",mmmm[[#This Row],[Last Name]])</f>
        <v>Muhamad Aleazm</v>
      </c>
      <c r="E399" s="19" t="s">
        <v>18</v>
      </c>
      <c r="F399" s="11">
        <v>43197</v>
      </c>
      <c r="G399" s="19">
        <v>8</v>
      </c>
      <c r="H399" s="19" t="s">
        <v>55</v>
      </c>
      <c r="I399" s="19" t="s">
        <v>20</v>
      </c>
      <c r="J399" s="1" t="s">
        <v>62</v>
      </c>
      <c r="K399" s="19">
        <v>1867</v>
      </c>
      <c r="L399" s="19">
        <v>22404</v>
      </c>
      <c r="M399" s="19">
        <v>3</v>
      </c>
      <c r="N399" s="19">
        <v>0</v>
      </c>
      <c r="O399" s="1">
        <v>0</v>
      </c>
      <c r="P399" s="19">
        <v>0</v>
      </c>
    </row>
    <row r="400" spans="1:16">
      <c r="A400" s="1">
        <v>399</v>
      </c>
      <c r="B400" s="1" t="s">
        <v>594</v>
      </c>
      <c r="C400" s="1" t="s">
        <v>595</v>
      </c>
      <c r="D400" s="1" t="str">
        <f>_xlfn.CONCAT(mmmm[[#This Row],[First Name]]," ",mmmm[[#This Row],[Last Name]])</f>
        <v>Maya Alhmwi</v>
      </c>
      <c r="E400" s="19" t="s">
        <v>27</v>
      </c>
      <c r="F400" s="11">
        <v>43444</v>
      </c>
      <c r="G400" s="19">
        <v>7</v>
      </c>
      <c r="H400" s="19" t="s">
        <v>19</v>
      </c>
      <c r="I400" s="19" t="s">
        <v>24</v>
      </c>
      <c r="J400" s="1" t="s">
        <v>39</v>
      </c>
      <c r="K400" s="19">
        <v>2425</v>
      </c>
      <c r="L400" s="19">
        <v>29100</v>
      </c>
      <c r="M400" s="19">
        <v>5</v>
      </c>
      <c r="N400" s="19">
        <v>0</v>
      </c>
      <c r="O400" s="1">
        <v>0</v>
      </c>
      <c r="P400" s="19">
        <v>10</v>
      </c>
    </row>
    <row r="401" spans="1:16">
      <c r="A401" s="1">
        <v>400</v>
      </c>
      <c r="B401" s="1" t="s">
        <v>389</v>
      </c>
      <c r="C401" s="1" t="s">
        <v>596</v>
      </c>
      <c r="D401" s="1" t="str">
        <f>_xlfn.CONCAT(mmmm[[#This Row],[First Name]]," ",mmmm[[#This Row],[Last Name]])</f>
        <v>Basil Khiat</v>
      </c>
      <c r="E401" s="19" t="s">
        <v>18</v>
      </c>
      <c r="F401" s="11">
        <v>44179</v>
      </c>
      <c r="G401" s="19">
        <v>5</v>
      </c>
      <c r="H401" s="19" t="s">
        <v>60</v>
      </c>
      <c r="I401" s="19" t="s">
        <v>24</v>
      </c>
      <c r="J401" s="1" t="s">
        <v>33</v>
      </c>
      <c r="K401" s="19">
        <v>1758</v>
      </c>
      <c r="L401" s="19">
        <v>21096</v>
      </c>
      <c r="M401" s="19">
        <v>5</v>
      </c>
      <c r="N401" s="19">
        <v>0</v>
      </c>
      <c r="O401" s="1">
        <v>0</v>
      </c>
      <c r="P401" s="19">
        <v>0</v>
      </c>
    </row>
    <row r="402" spans="1:16">
      <c r="A402" s="1">
        <v>401</v>
      </c>
      <c r="B402" s="1" t="s">
        <v>36</v>
      </c>
      <c r="C402" s="1" t="s">
        <v>501</v>
      </c>
      <c r="D402" s="1" t="str">
        <f>_xlfn.CONCAT(mmmm[[#This Row],[First Name]]," ",mmmm[[#This Row],[Last Name]])</f>
        <v>Muhamad Zaydan</v>
      </c>
      <c r="E402" s="19" t="s">
        <v>18</v>
      </c>
      <c r="F402" s="11">
        <v>44191</v>
      </c>
      <c r="G402" s="19">
        <v>5</v>
      </c>
      <c r="H402" s="19" t="s">
        <v>31</v>
      </c>
      <c r="I402" s="19" t="s">
        <v>50</v>
      </c>
      <c r="J402" s="1" t="s">
        <v>560</v>
      </c>
      <c r="K402" s="19">
        <v>2832</v>
      </c>
      <c r="L402" s="19">
        <v>33984</v>
      </c>
      <c r="M402" s="19">
        <v>3</v>
      </c>
      <c r="N402" s="19">
        <v>0</v>
      </c>
      <c r="O402" s="1">
        <v>0</v>
      </c>
      <c r="P402" s="19">
        <v>1</v>
      </c>
    </row>
    <row r="403" spans="1:16">
      <c r="A403" s="1">
        <v>402</v>
      </c>
      <c r="B403" s="1" t="s">
        <v>597</v>
      </c>
      <c r="C403" s="1" t="s">
        <v>598</v>
      </c>
      <c r="D403" s="1" t="str">
        <f>_xlfn.CONCAT(mmmm[[#This Row],[First Name]]," ",mmmm[[#This Row],[Last Name]])</f>
        <v>Randa Alajw</v>
      </c>
      <c r="E403" s="19" t="s">
        <v>27</v>
      </c>
      <c r="F403" s="11">
        <v>42879</v>
      </c>
      <c r="G403" s="19">
        <v>9</v>
      </c>
      <c r="H403" s="19" t="s">
        <v>60</v>
      </c>
      <c r="I403" s="19" t="s">
        <v>20</v>
      </c>
      <c r="J403" s="1" t="s">
        <v>39</v>
      </c>
      <c r="K403" s="19">
        <v>1371</v>
      </c>
      <c r="L403" s="19">
        <v>16452</v>
      </c>
      <c r="M403" s="19">
        <v>1</v>
      </c>
      <c r="N403" s="19">
        <v>1</v>
      </c>
      <c r="O403" s="1">
        <v>0</v>
      </c>
      <c r="P403" s="19">
        <v>8</v>
      </c>
    </row>
    <row r="404" spans="1:16">
      <c r="A404" s="1">
        <v>403</v>
      </c>
      <c r="B404" s="1" t="s">
        <v>36</v>
      </c>
      <c r="C404" s="1" t="s">
        <v>599</v>
      </c>
      <c r="D404" s="1" t="str">
        <f>_xlfn.CONCAT(mmmm[[#This Row],[First Name]]," ",mmmm[[#This Row],[Last Name]])</f>
        <v>Muhamad Alghazi</v>
      </c>
      <c r="E404" s="19" t="s">
        <v>18</v>
      </c>
      <c r="F404" s="11">
        <v>43461</v>
      </c>
      <c r="G404" s="19">
        <v>7</v>
      </c>
      <c r="H404" s="19" t="s">
        <v>60</v>
      </c>
      <c r="I404" s="19" t="s">
        <v>20</v>
      </c>
      <c r="J404" s="1" t="s">
        <v>560</v>
      </c>
      <c r="K404" s="19">
        <v>2904</v>
      </c>
      <c r="L404" s="19">
        <v>34848</v>
      </c>
      <c r="M404" s="19">
        <v>5</v>
      </c>
      <c r="N404" s="19">
        <v>6</v>
      </c>
      <c r="O404" s="1">
        <v>0</v>
      </c>
      <c r="P404" s="19">
        <v>3</v>
      </c>
    </row>
    <row r="405" spans="1:16">
      <c r="A405" s="1">
        <v>404</v>
      </c>
      <c r="B405" s="1" t="s">
        <v>311</v>
      </c>
      <c r="C405" s="1" t="s">
        <v>600</v>
      </c>
      <c r="D405" s="1" t="str">
        <f>_xlfn.CONCAT(mmmm[[#This Row],[First Name]]," ",mmmm[[#This Row],[Last Name]])</f>
        <v>Rahaf Eijluni</v>
      </c>
      <c r="E405" s="19" t="s">
        <v>27</v>
      </c>
      <c r="F405" s="11">
        <v>43512</v>
      </c>
      <c r="G405" s="19">
        <v>7</v>
      </c>
      <c r="H405" s="19" t="s">
        <v>38</v>
      </c>
      <c r="I405" s="19" t="s">
        <v>296</v>
      </c>
      <c r="J405" s="1" t="s">
        <v>33</v>
      </c>
      <c r="K405" s="19">
        <v>3285</v>
      </c>
      <c r="L405" s="19">
        <v>39420</v>
      </c>
      <c r="M405" s="19">
        <v>3</v>
      </c>
      <c r="N405" s="19">
        <v>2</v>
      </c>
      <c r="O405" s="1">
        <v>0</v>
      </c>
      <c r="P405" s="19">
        <v>0</v>
      </c>
    </row>
    <row r="406" spans="1:16">
      <c r="A406" s="1">
        <v>405</v>
      </c>
      <c r="B406" s="1" t="s">
        <v>601</v>
      </c>
      <c r="C406" s="1" t="s">
        <v>602</v>
      </c>
      <c r="D406" s="1" t="str">
        <f>_xlfn.CONCAT(mmmm[[#This Row],[First Name]]," ",mmmm[[#This Row],[Last Name]])</f>
        <v>Sultan Alhijar</v>
      </c>
      <c r="E406" s="19" t="s">
        <v>18</v>
      </c>
      <c r="F406" s="11">
        <v>43290</v>
      </c>
      <c r="G406" s="19">
        <v>8</v>
      </c>
      <c r="H406" s="19" t="s">
        <v>55</v>
      </c>
      <c r="I406" s="19" t="s">
        <v>20</v>
      </c>
      <c r="J406" s="1" t="s">
        <v>21</v>
      </c>
      <c r="K406" s="19">
        <v>2964</v>
      </c>
      <c r="L406" s="19">
        <v>35568</v>
      </c>
      <c r="M406" s="19">
        <v>5</v>
      </c>
      <c r="N406" s="19">
        <v>2</v>
      </c>
      <c r="O406" s="1">
        <v>0</v>
      </c>
      <c r="P406" s="19">
        <v>45</v>
      </c>
    </row>
    <row r="407" spans="1:16">
      <c r="A407" s="1">
        <v>406</v>
      </c>
      <c r="B407" s="1" t="s">
        <v>603</v>
      </c>
      <c r="C407" s="1" t="s">
        <v>604</v>
      </c>
      <c r="D407" s="1" t="str">
        <f>_xlfn.CONCAT(mmmm[[#This Row],[First Name]]," ",mmmm[[#This Row],[Last Name]])</f>
        <v>Asma Sadqawi</v>
      </c>
      <c r="E407" s="19" t="s">
        <v>27</v>
      </c>
      <c r="F407" s="11">
        <v>43195</v>
      </c>
      <c r="G407" s="19">
        <v>8</v>
      </c>
      <c r="H407" s="19" t="s">
        <v>44</v>
      </c>
      <c r="I407" s="19" t="s">
        <v>32</v>
      </c>
      <c r="J407" s="1" t="s">
        <v>39</v>
      </c>
      <c r="K407" s="19">
        <v>974</v>
      </c>
      <c r="L407" s="19">
        <v>11688</v>
      </c>
      <c r="M407" s="19">
        <v>2</v>
      </c>
      <c r="N407" s="19">
        <v>5</v>
      </c>
      <c r="O407" s="1">
        <v>0</v>
      </c>
      <c r="P407" s="19">
        <v>5</v>
      </c>
    </row>
    <row r="408" spans="1:16">
      <c r="A408" s="1">
        <v>407</v>
      </c>
      <c r="B408" s="1" t="s">
        <v>605</v>
      </c>
      <c r="C408" s="1" t="s">
        <v>606</v>
      </c>
      <c r="D408" s="1" t="str">
        <f>_xlfn.CONCAT(mmmm[[#This Row],[First Name]]," ",mmmm[[#This Row],[Last Name]])</f>
        <v>Fulla Alkhalid</v>
      </c>
      <c r="E408" s="19" t="s">
        <v>27</v>
      </c>
      <c r="F408" s="11">
        <v>43579</v>
      </c>
      <c r="G408" s="19">
        <v>7</v>
      </c>
      <c r="H408" s="19" t="s">
        <v>44</v>
      </c>
      <c r="I408" s="19" t="s">
        <v>24</v>
      </c>
      <c r="J408" s="1" t="s">
        <v>560</v>
      </c>
      <c r="K408" s="19">
        <v>2607</v>
      </c>
      <c r="L408" s="19">
        <v>31284</v>
      </c>
      <c r="M408" s="19">
        <v>4.5</v>
      </c>
      <c r="N408" s="19">
        <v>0</v>
      </c>
      <c r="O408" s="1">
        <v>0</v>
      </c>
      <c r="P408" s="19">
        <v>9</v>
      </c>
    </row>
    <row r="409" spans="1:16">
      <c r="A409" s="1">
        <v>408</v>
      </c>
      <c r="B409" s="1" t="s">
        <v>607</v>
      </c>
      <c r="C409" s="1" t="s">
        <v>312</v>
      </c>
      <c r="D409" s="1" t="str">
        <f>_xlfn.CONCAT(mmmm[[#This Row],[First Name]]," ",mmmm[[#This Row],[Last Name]])</f>
        <v>Lujin Alaleppoy</v>
      </c>
      <c r="E409" s="19" t="s">
        <v>27</v>
      </c>
      <c r="F409" s="11">
        <v>42998</v>
      </c>
      <c r="G409" s="19">
        <v>8</v>
      </c>
      <c r="H409" s="19" t="s">
        <v>19</v>
      </c>
      <c r="I409" s="19" t="s">
        <v>20</v>
      </c>
      <c r="J409" s="1" t="s">
        <v>33</v>
      </c>
      <c r="K409" s="19">
        <v>1550</v>
      </c>
      <c r="L409" s="19">
        <v>18600</v>
      </c>
      <c r="M409" s="19">
        <v>1</v>
      </c>
      <c r="N409" s="19">
        <v>0</v>
      </c>
      <c r="O409" s="1">
        <v>0</v>
      </c>
      <c r="P409" s="19">
        <v>3</v>
      </c>
    </row>
    <row r="410" spans="1:16">
      <c r="A410" s="1">
        <v>409</v>
      </c>
      <c r="B410" s="1" t="s">
        <v>608</v>
      </c>
      <c r="C410" s="1" t="s">
        <v>609</v>
      </c>
      <c r="D410" s="1" t="str">
        <f>_xlfn.CONCAT(mmmm[[#This Row],[First Name]]," ",mmmm[[#This Row],[Last Name]])</f>
        <v>Jihan Alqudmani</v>
      </c>
      <c r="E410" s="19" t="s">
        <v>27</v>
      </c>
      <c r="F410" s="11">
        <v>42574</v>
      </c>
      <c r="G410" s="19">
        <v>10</v>
      </c>
      <c r="H410" s="19" t="s">
        <v>42</v>
      </c>
      <c r="I410" s="19" t="s">
        <v>20</v>
      </c>
      <c r="J410" s="1" t="s">
        <v>33</v>
      </c>
      <c r="K410" s="19">
        <v>1631</v>
      </c>
      <c r="L410" s="19">
        <v>19572</v>
      </c>
      <c r="M410" s="19">
        <v>4.5</v>
      </c>
      <c r="N410" s="19">
        <v>0</v>
      </c>
      <c r="O410" s="1">
        <v>0</v>
      </c>
      <c r="P410" s="19">
        <v>4</v>
      </c>
    </row>
    <row r="411" spans="1:16">
      <c r="A411" s="1">
        <v>410</v>
      </c>
      <c r="B411" s="1" t="s">
        <v>236</v>
      </c>
      <c r="C411" s="1" t="s">
        <v>610</v>
      </c>
      <c r="D411" s="1" t="str">
        <f>_xlfn.CONCAT(mmmm[[#This Row],[First Name]]," ",mmmm[[#This Row],[Last Name]])</f>
        <v>Anwar Alkhayran</v>
      </c>
      <c r="E411" s="19" t="s">
        <v>18</v>
      </c>
      <c r="F411" s="11">
        <v>43506</v>
      </c>
      <c r="G411" s="19">
        <v>7</v>
      </c>
      <c r="H411" s="19" t="s">
        <v>60</v>
      </c>
      <c r="I411" s="19" t="s">
        <v>20</v>
      </c>
      <c r="J411" s="1" t="s">
        <v>560</v>
      </c>
      <c r="K411" s="19">
        <v>3003</v>
      </c>
      <c r="L411" s="19">
        <v>36036</v>
      </c>
      <c r="M411" s="19">
        <v>1</v>
      </c>
      <c r="N411" s="19">
        <v>6</v>
      </c>
      <c r="O411" s="1">
        <v>1</v>
      </c>
      <c r="P411" s="19">
        <v>6</v>
      </c>
    </row>
    <row r="412" spans="1:16">
      <c r="A412" s="1">
        <v>411</v>
      </c>
      <c r="B412" s="1" t="s">
        <v>611</v>
      </c>
      <c r="C412" s="1" t="s">
        <v>36</v>
      </c>
      <c r="D412" s="1" t="str">
        <f>_xlfn.CONCAT(mmmm[[#This Row],[First Name]]," ",mmmm[[#This Row],[Last Name]])</f>
        <v>Qasim Muhamad</v>
      </c>
      <c r="E412" s="19" t="s">
        <v>18</v>
      </c>
      <c r="F412" s="11">
        <v>43800</v>
      </c>
      <c r="G412" s="19">
        <v>6</v>
      </c>
      <c r="H412" s="19" t="s">
        <v>31</v>
      </c>
      <c r="I412" s="19" t="s">
        <v>20</v>
      </c>
      <c r="J412" s="1" t="s">
        <v>21</v>
      </c>
      <c r="K412" s="19">
        <v>913</v>
      </c>
      <c r="L412" s="19">
        <v>10956</v>
      </c>
      <c r="M412" s="19">
        <v>5</v>
      </c>
      <c r="N412" s="19">
        <v>0</v>
      </c>
      <c r="O412" s="1">
        <v>0</v>
      </c>
      <c r="P412" s="19">
        <v>12</v>
      </c>
    </row>
    <row r="413" spans="1:16">
      <c r="A413" s="1">
        <v>412</v>
      </c>
      <c r="B413" s="1" t="s">
        <v>71</v>
      </c>
      <c r="C413" s="1" t="s">
        <v>612</v>
      </c>
      <c r="D413" s="1" t="str">
        <f>_xlfn.CONCAT(mmmm[[#This Row],[First Name]]," ",mmmm[[#This Row],[Last Name]])</f>
        <v>Samir Altaynawi</v>
      </c>
      <c r="E413" s="19" t="s">
        <v>18</v>
      </c>
      <c r="F413" s="11">
        <v>42934</v>
      </c>
      <c r="G413" s="19">
        <v>9</v>
      </c>
      <c r="H413" s="19" t="s">
        <v>55</v>
      </c>
      <c r="I413" s="19" t="s">
        <v>20</v>
      </c>
      <c r="J413" s="1" t="s">
        <v>62</v>
      </c>
      <c r="K413" s="19">
        <v>2076</v>
      </c>
      <c r="L413" s="19">
        <v>24912</v>
      </c>
      <c r="M413" s="19">
        <v>3</v>
      </c>
      <c r="N413" s="19">
        <v>0</v>
      </c>
      <c r="O413" s="1">
        <v>0</v>
      </c>
      <c r="P413" s="19">
        <v>4</v>
      </c>
    </row>
    <row r="414" spans="1:16">
      <c r="A414" s="1">
        <v>413</v>
      </c>
      <c r="B414" s="1" t="s">
        <v>61</v>
      </c>
      <c r="C414" s="1" t="s">
        <v>613</v>
      </c>
      <c r="D414" s="1" t="str">
        <f>_xlfn.CONCAT(mmmm[[#This Row],[First Name]]," ",mmmm[[#This Row],[Last Name]])</f>
        <v>Alaa Hafiz</v>
      </c>
      <c r="E414" s="19" t="s">
        <v>27</v>
      </c>
      <c r="F414" s="11">
        <v>44008</v>
      </c>
      <c r="G414" s="19">
        <v>6</v>
      </c>
      <c r="H414" s="19" t="s">
        <v>55</v>
      </c>
      <c r="I414" s="19" t="s">
        <v>20</v>
      </c>
      <c r="J414" s="1" t="s">
        <v>21</v>
      </c>
      <c r="K414" s="19">
        <v>2749</v>
      </c>
      <c r="L414" s="19">
        <v>32988</v>
      </c>
      <c r="M414" s="19">
        <v>3</v>
      </c>
      <c r="N414" s="19">
        <v>5</v>
      </c>
      <c r="O414" s="1">
        <v>4</v>
      </c>
      <c r="P414" s="19">
        <v>0</v>
      </c>
    </row>
    <row r="415" spans="1:16">
      <c r="A415" s="1">
        <v>414</v>
      </c>
      <c r="B415" s="1" t="s">
        <v>614</v>
      </c>
      <c r="C415" s="1" t="s">
        <v>615</v>
      </c>
      <c r="D415" s="1" t="str">
        <f>_xlfn.CONCAT(mmmm[[#This Row],[First Name]]," ",mmmm[[#This Row],[Last Name]])</f>
        <v>Kamilia Sydu</v>
      </c>
      <c r="E415" s="19" t="s">
        <v>27</v>
      </c>
      <c r="F415" s="11">
        <v>43490</v>
      </c>
      <c r="G415" s="19">
        <v>7</v>
      </c>
      <c r="H415" s="19" t="s">
        <v>52</v>
      </c>
      <c r="I415" s="19" t="s">
        <v>24</v>
      </c>
      <c r="J415" s="1" t="s">
        <v>21</v>
      </c>
      <c r="K415" s="19">
        <v>2617</v>
      </c>
      <c r="L415" s="19">
        <v>31404</v>
      </c>
      <c r="M415" s="19">
        <v>4.5</v>
      </c>
      <c r="N415" s="19">
        <v>1</v>
      </c>
      <c r="O415" s="1">
        <v>0</v>
      </c>
      <c r="P415" s="19">
        <v>5</v>
      </c>
    </row>
    <row r="416" spans="1:16">
      <c r="A416" s="1">
        <v>415</v>
      </c>
      <c r="B416" s="1" t="s">
        <v>188</v>
      </c>
      <c r="C416" s="1" t="s">
        <v>616</v>
      </c>
      <c r="D416" s="1" t="str">
        <f>_xlfn.CONCAT(mmmm[[#This Row],[First Name]]," ",mmmm[[#This Row],[Last Name]])</f>
        <v>Ali Marwan</v>
      </c>
      <c r="E416" s="19" t="s">
        <v>18</v>
      </c>
      <c r="F416" s="11">
        <v>43697</v>
      </c>
      <c r="G416" s="19">
        <v>6</v>
      </c>
      <c r="H416" s="19" t="s">
        <v>52</v>
      </c>
      <c r="I416" s="19" t="s">
        <v>32</v>
      </c>
      <c r="J416" s="1" t="s">
        <v>39</v>
      </c>
      <c r="K416" s="19">
        <v>1680</v>
      </c>
      <c r="L416" s="19">
        <v>20160</v>
      </c>
      <c r="M416" s="19">
        <v>5</v>
      </c>
      <c r="N416" s="19">
        <v>1</v>
      </c>
      <c r="O416" s="1">
        <v>0</v>
      </c>
      <c r="P416" s="19">
        <v>35</v>
      </c>
    </row>
    <row r="417" spans="1:16">
      <c r="A417" s="1">
        <v>416</v>
      </c>
      <c r="B417" s="1" t="s">
        <v>221</v>
      </c>
      <c r="C417" s="1" t="s">
        <v>329</v>
      </c>
      <c r="D417" s="1" t="str">
        <f>_xlfn.CONCAT(mmmm[[#This Row],[First Name]]," ",mmmm[[#This Row],[Last Name]])</f>
        <v>Mahir Almarstani</v>
      </c>
      <c r="E417" s="19" t="s">
        <v>18</v>
      </c>
      <c r="F417" s="11">
        <v>43899</v>
      </c>
      <c r="G417" s="19">
        <v>6</v>
      </c>
      <c r="H417" s="19" t="s">
        <v>47</v>
      </c>
      <c r="I417" s="19" t="s">
        <v>20</v>
      </c>
      <c r="J417" s="1" t="s">
        <v>33</v>
      </c>
      <c r="K417" s="19">
        <v>2824</v>
      </c>
      <c r="L417" s="19">
        <v>33888</v>
      </c>
      <c r="M417" s="19">
        <v>3</v>
      </c>
      <c r="N417" s="19">
        <v>3</v>
      </c>
      <c r="O417" s="1">
        <v>0</v>
      </c>
      <c r="P417" s="19">
        <v>3</v>
      </c>
    </row>
    <row r="418" spans="1:16">
      <c r="A418" s="1">
        <v>417</v>
      </c>
      <c r="B418" s="1" t="s">
        <v>617</v>
      </c>
      <c r="C418" s="1" t="s">
        <v>618</v>
      </c>
      <c r="D418" s="1" t="str">
        <f>_xlfn.CONCAT(mmmm[[#This Row],[First Name]]," ",mmmm[[#This Row],[Last Name]])</f>
        <v>Rwad Alddahir</v>
      </c>
      <c r="E418" s="19" t="s">
        <v>27</v>
      </c>
      <c r="F418" s="11">
        <v>43004</v>
      </c>
      <c r="G418" s="19">
        <v>8</v>
      </c>
      <c r="H418" s="19" t="s">
        <v>38</v>
      </c>
      <c r="I418" s="19" t="s">
        <v>20</v>
      </c>
      <c r="J418" s="1" t="s">
        <v>21</v>
      </c>
      <c r="K418" s="19">
        <v>1646</v>
      </c>
      <c r="L418" s="19">
        <v>19752</v>
      </c>
      <c r="M418" s="19">
        <v>5</v>
      </c>
      <c r="N418" s="19">
        <v>0</v>
      </c>
      <c r="O418" s="1">
        <v>0</v>
      </c>
      <c r="P418" s="19">
        <v>7</v>
      </c>
    </row>
    <row r="419" spans="1:16">
      <c r="A419" s="1">
        <v>418</v>
      </c>
      <c r="B419" s="1" t="s">
        <v>619</v>
      </c>
      <c r="C419" s="1" t="s">
        <v>620</v>
      </c>
      <c r="D419" s="1" t="str">
        <f>_xlfn.CONCAT(mmmm[[#This Row],[First Name]]," ",mmmm[[#This Row],[Last Name]])</f>
        <v>Jury Eabuwd</v>
      </c>
      <c r="E419" s="19" t="s">
        <v>27</v>
      </c>
      <c r="F419" s="11">
        <v>43438</v>
      </c>
      <c r="G419" s="19">
        <v>7</v>
      </c>
      <c r="H419" s="19" t="s">
        <v>19</v>
      </c>
      <c r="I419" s="19" t="s">
        <v>20</v>
      </c>
      <c r="J419" s="1" t="s">
        <v>62</v>
      </c>
      <c r="K419" s="19">
        <v>979</v>
      </c>
      <c r="L419" s="19">
        <v>11748</v>
      </c>
      <c r="M419" s="19">
        <v>5</v>
      </c>
      <c r="N419" s="19">
        <v>5</v>
      </c>
      <c r="O419" s="1">
        <v>0</v>
      </c>
      <c r="P419" s="19">
        <v>8</v>
      </c>
    </row>
    <row r="420" spans="1:16">
      <c r="A420" s="1">
        <v>419</v>
      </c>
      <c r="B420" s="1" t="s">
        <v>621</v>
      </c>
      <c r="C420" s="1" t="s">
        <v>622</v>
      </c>
      <c r="D420" s="1" t="str">
        <f>_xlfn.CONCAT(mmmm[[#This Row],[First Name]]," ",mmmm[[#This Row],[Last Name]])</f>
        <v>Sayban Musur</v>
      </c>
      <c r="E420" s="19" t="s">
        <v>27</v>
      </c>
      <c r="F420" s="11">
        <v>43467</v>
      </c>
      <c r="G420" s="19">
        <v>7</v>
      </c>
      <c r="H420" s="19" t="s">
        <v>79</v>
      </c>
      <c r="I420" s="19" t="s">
        <v>50</v>
      </c>
      <c r="J420" s="1" t="s">
        <v>21</v>
      </c>
      <c r="K420" s="19">
        <v>1274</v>
      </c>
      <c r="L420" s="19">
        <v>15288</v>
      </c>
      <c r="M420" s="19">
        <v>3</v>
      </c>
      <c r="N420" s="19">
        <v>0</v>
      </c>
      <c r="O420" s="1">
        <v>0</v>
      </c>
      <c r="P420" s="19">
        <v>7</v>
      </c>
    </row>
    <row r="421" spans="1:16">
      <c r="A421" s="1">
        <v>420</v>
      </c>
      <c r="B421" s="1" t="s">
        <v>427</v>
      </c>
      <c r="C421" s="1" t="s">
        <v>438</v>
      </c>
      <c r="D421" s="1" t="str">
        <f>_xlfn.CONCAT(mmmm[[#This Row],[First Name]]," ",mmmm[[#This Row],[Last Name]])</f>
        <v>Diana Muayid</v>
      </c>
      <c r="E421" s="19" t="s">
        <v>27</v>
      </c>
      <c r="F421" s="11">
        <v>43765</v>
      </c>
      <c r="G421" s="19">
        <v>6</v>
      </c>
      <c r="H421" s="19" t="s">
        <v>55</v>
      </c>
      <c r="I421" s="19" t="s">
        <v>20</v>
      </c>
      <c r="J421" s="1" t="s">
        <v>39</v>
      </c>
      <c r="K421" s="19">
        <v>2715</v>
      </c>
      <c r="L421" s="19">
        <v>32580</v>
      </c>
      <c r="M421" s="19">
        <v>2</v>
      </c>
      <c r="N421" s="19">
        <v>0</v>
      </c>
      <c r="O421" s="1">
        <v>0</v>
      </c>
      <c r="P421" s="19">
        <v>3</v>
      </c>
    </row>
    <row r="422" spans="1:16">
      <c r="A422" s="1">
        <v>421</v>
      </c>
      <c r="B422" s="1" t="s">
        <v>623</v>
      </c>
      <c r="C422" s="1" t="s">
        <v>624</v>
      </c>
      <c r="D422" s="1" t="str">
        <f>_xlfn.CONCAT(mmmm[[#This Row],[First Name]]," ",mmmm[[#This Row],[Last Name]])</f>
        <v>Lbyb Fahd</v>
      </c>
      <c r="E422" s="19" t="s">
        <v>18</v>
      </c>
      <c r="F422" s="11">
        <v>43781</v>
      </c>
      <c r="G422" s="19">
        <v>6</v>
      </c>
      <c r="H422" s="19" t="s">
        <v>31</v>
      </c>
      <c r="I422" s="19" t="s">
        <v>50</v>
      </c>
      <c r="J422" s="1" t="s">
        <v>39</v>
      </c>
      <c r="K422" s="19">
        <v>1158</v>
      </c>
      <c r="L422" s="19">
        <v>13896</v>
      </c>
      <c r="M422" s="19">
        <v>5</v>
      </c>
      <c r="N422" s="19">
        <v>0</v>
      </c>
      <c r="O422" s="1">
        <v>0</v>
      </c>
      <c r="P422" s="19">
        <v>0</v>
      </c>
    </row>
    <row r="423" spans="1:16">
      <c r="A423" s="1">
        <v>422</v>
      </c>
      <c r="B423" s="1" t="s">
        <v>225</v>
      </c>
      <c r="C423" s="1" t="s">
        <v>625</v>
      </c>
      <c r="D423" s="1" t="str">
        <f>_xlfn.CONCAT(mmmm[[#This Row],[First Name]]," ",mmmm[[#This Row],[Last Name]])</f>
        <v>Bashshar Bilul</v>
      </c>
      <c r="E423" s="19" t="s">
        <v>18</v>
      </c>
      <c r="F423" s="11">
        <v>43314</v>
      </c>
      <c r="G423" s="19">
        <v>8</v>
      </c>
      <c r="H423" s="19" t="s">
        <v>60</v>
      </c>
      <c r="I423" s="19" t="s">
        <v>20</v>
      </c>
      <c r="J423" s="1" t="s">
        <v>560</v>
      </c>
      <c r="K423" s="19">
        <v>1986</v>
      </c>
      <c r="L423" s="19">
        <v>23832</v>
      </c>
      <c r="M423" s="19">
        <v>3</v>
      </c>
      <c r="N423" s="19">
        <v>1</v>
      </c>
      <c r="O423" s="1">
        <v>0</v>
      </c>
      <c r="P423" s="19">
        <v>14</v>
      </c>
    </row>
    <row r="424" spans="1:16">
      <c r="A424" s="1">
        <v>423</v>
      </c>
      <c r="B424" s="1" t="s">
        <v>188</v>
      </c>
      <c r="C424" s="1" t="s">
        <v>626</v>
      </c>
      <c r="D424" s="1" t="str">
        <f>_xlfn.CONCAT(mmmm[[#This Row],[First Name]]," ",mmmm[[#This Row],[Last Name]])</f>
        <v>Ali Alnuwri</v>
      </c>
      <c r="E424" s="19" t="s">
        <v>18</v>
      </c>
      <c r="F424" s="11">
        <v>43826</v>
      </c>
      <c r="G424" s="19">
        <v>6</v>
      </c>
      <c r="H424" s="19" t="s">
        <v>31</v>
      </c>
      <c r="I424" s="19" t="s">
        <v>24</v>
      </c>
      <c r="J424" s="1" t="s">
        <v>62</v>
      </c>
      <c r="K424" s="19">
        <v>3299</v>
      </c>
      <c r="L424" s="19">
        <v>39588</v>
      </c>
      <c r="M424" s="19">
        <v>5</v>
      </c>
      <c r="N424" s="19">
        <v>1</v>
      </c>
      <c r="O424" s="1">
        <v>0</v>
      </c>
      <c r="P424" s="19">
        <v>0</v>
      </c>
    </row>
    <row r="425" spans="1:16">
      <c r="A425" s="1">
        <v>424</v>
      </c>
      <c r="B425" s="1" t="s">
        <v>68</v>
      </c>
      <c r="C425" s="1" t="s">
        <v>428</v>
      </c>
      <c r="D425" s="1" t="str">
        <f>_xlfn.CONCAT(mmmm[[#This Row],[First Name]]," ",mmmm[[#This Row],[Last Name]])</f>
        <v>Salim Aleabd</v>
      </c>
      <c r="E425" s="19" t="s">
        <v>18</v>
      </c>
      <c r="F425" s="11">
        <v>43062</v>
      </c>
      <c r="G425" s="19">
        <v>8</v>
      </c>
      <c r="H425" s="19" t="s">
        <v>19</v>
      </c>
      <c r="I425" s="19" t="s">
        <v>20</v>
      </c>
      <c r="J425" s="1" t="s">
        <v>33</v>
      </c>
      <c r="K425" s="19">
        <v>2405</v>
      </c>
      <c r="L425" s="19">
        <v>28860</v>
      </c>
      <c r="M425" s="19">
        <v>5</v>
      </c>
      <c r="N425" s="19">
        <v>0</v>
      </c>
      <c r="O425" s="1">
        <v>0</v>
      </c>
      <c r="P425" s="19">
        <v>97</v>
      </c>
    </row>
    <row r="426" spans="1:16">
      <c r="A426" s="1">
        <v>425</v>
      </c>
      <c r="B426" s="1" t="s">
        <v>265</v>
      </c>
      <c r="C426" s="1" t="s">
        <v>627</v>
      </c>
      <c r="D426" s="1" t="str">
        <f>_xlfn.CONCAT(mmmm[[#This Row],[First Name]]," ",mmmm[[#This Row],[Last Name]])</f>
        <v>Abd Alruhmin Allaham</v>
      </c>
      <c r="E426" s="19" t="s">
        <v>18</v>
      </c>
      <c r="F426" s="11">
        <v>44027</v>
      </c>
      <c r="G426" s="19">
        <v>6</v>
      </c>
      <c r="H426" s="19" t="s">
        <v>55</v>
      </c>
      <c r="I426" s="19" t="s">
        <v>20</v>
      </c>
      <c r="J426" s="1" t="s">
        <v>39</v>
      </c>
      <c r="K426" s="19">
        <v>2205</v>
      </c>
      <c r="L426" s="19">
        <v>26460</v>
      </c>
      <c r="M426" s="19">
        <v>3</v>
      </c>
      <c r="N426" s="19">
        <v>0</v>
      </c>
      <c r="O426" s="1">
        <v>0</v>
      </c>
      <c r="P426" s="19">
        <v>4</v>
      </c>
    </row>
    <row r="427" spans="1:16">
      <c r="A427" s="1">
        <v>426</v>
      </c>
      <c r="B427" s="1" t="s">
        <v>36</v>
      </c>
      <c r="C427" s="1" t="s">
        <v>628</v>
      </c>
      <c r="D427" s="1" t="str">
        <f>_xlfn.CONCAT(mmmm[[#This Row],[First Name]]," ",mmmm[[#This Row],[Last Name]])</f>
        <v>Muhamad Raft</v>
      </c>
      <c r="E427" s="19" t="s">
        <v>18</v>
      </c>
      <c r="F427" s="11">
        <v>42562</v>
      </c>
      <c r="G427" s="19">
        <v>10</v>
      </c>
      <c r="H427" s="19" t="s">
        <v>31</v>
      </c>
      <c r="I427" s="19" t="s">
        <v>20</v>
      </c>
      <c r="J427" s="1" t="s">
        <v>560</v>
      </c>
      <c r="K427" s="19">
        <v>2651</v>
      </c>
      <c r="L427" s="19">
        <v>31812</v>
      </c>
      <c r="M427" s="19">
        <v>3</v>
      </c>
      <c r="N427" s="19">
        <v>0</v>
      </c>
      <c r="O427" s="1">
        <v>0</v>
      </c>
      <c r="P427" s="19">
        <v>6</v>
      </c>
    </row>
    <row r="428" spans="1:16">
      <c r="A428" s="1">
        <v>427</v>
      </c>
      <c r="B428" s="1" t="s">
        <v>34</v>
      </c>
      <c r="C428" s="1" t="s">
        <v>233</v>
      </c>
      <c r="D428" s="1" t="str">
        <f>_xlfn.CONCAT(mmmm[[#This Row],[First Name]]," ",mmmm[[#This Row],[Last Name]])</f>
        <v>Ahmad Shakir</v>
      </c>
      <c r="E428" s="19" t="s">
        <v>18</v>
      </c>
      <c r="F428" s="11">
        <v>43615</v>
      </c>
      <c r="G428" s="19">
        <v>7</v>
      </c>
      <c r="H428" s="19" t="s">
        <v>44</v>
      </c>
      <c r="I428" s="19" t="s">
        <v>20</v>
      </c>
      <c r="J428" s="1" t="s">
        <v>39</v>
      </c>
      <c r="K428" s="19">
        <v>1693</v>
      </c>
      <c r="L428" s="19">
        <v>20316</v>
      </c>
      <c r="M428" s="19">
        <v>4.5</v>
      </c>
      <c r="N428" s="19">
        <v>2</v>
      </c>
      <c r="O428" s="1">
        <v>5</v>
      </c>
      <c r="P428" s="19">
        <v>6</v>
      </c>
    </row>
    <row r="429" spans="1:16">
      <c r="A429" s="1">
        <v>428</v>
      </c>
      <c r="B429" s="1" t="s">
        <v>174</v>
      </c>
      <c r="C429" s="1" t="s">
        <v>629</v>
      </c>
      <c r="D429" s="1" t="str">
        <f>_xlfn.CONCAT(mmmm[[#This Row],[First Name]]," ",mmmm[[#This Row],[Last Name]])</f>
        <v>Rasha Asead</v>
      </c>
      <c r="E429" s="19" t="s">
        <v>27</v>
      </c>
      <c r="F429" s="11">
        <v>43821</v>
      </c>
      <c r="G429" s="19">
        <v>6</v>
      </c>
      <c r="H429" s="19" t="s">
        <v>42</v>
      </c>
      <c r="I429" s="19" t="s">
        <v>20</v>
      </c>
      <c r="J429" s="1" t="s">
        <v>33</v>
      </c>
      <c r="K429" s="19">
        <v>1690</v>
      </c>
      <c r="L429" s="19">
        <v>20280</v>
      </c>
      <c r="M429" s="19">
        <v>1</v>
      </c>
      <c r="N429" s="19">
        <v>0</v>
      </c>
      <c r="O429" s="1">
        <v>0</v>
      </c>
      <c r="P429" s="19">
        <v>6</v>
      </c>
    </row>
    <row r="430" spans="1:16">
      <c r="A430" s="1">
        <v>429</v>
      </c>
      <c r="B430" s="1" t="s">
        <v>22</v>
      </c>
      <c r="C430" s="1" t="s">
        <v>630</v>
      </c>
      <c r="D430" s="1" t="str">
        <f>_xlfn.CONCAT(mmmm[[#This Row],[First Name]]," ",mmmm[[#This Row],[Last Name]])</f>
        <v>Omar Alwurhani</v>
      </c>
      <c r="E430" s="19" t="s">
        <v>18</v>
      </c>
      <c r="F430" s="11">
        <v>43499</v>
      </c>
      <c r="G430" s="19">
        <v>7</v>
      </c>
      <c r="H430" s="19" t="s">
        <v>44</v>
      </c>
      <c r="I430" s="19" t="s">
        <v>20</v>
      </c>
      <c r="J430" s="1" t="s">
        <v>33</v>
      </c>
      <c r="K430" s="19">
        <v>766</v>
      </c>
      <c r="L430" s="19">
        <v>9192</v>
      </c>
      <c r="M430" s="19">
        <v>3</v>
      </c>
      <c r="N430" s="19">
        <v>0</v>
      </c>
      <c r="O430" s="1">
        <v>0</v>
      </c>
      <c r="P430" s="19">
        <v>5</v>
      </c>
    </row>
    <row r="431" spans="1:16">
      <c r="A431" s="1">
        <v>430</v>
      </c>
      <c r="B431" s="1" t="s">
        <v>69</v>
      </c>
      <c r="C431" s="1" t="s">
        <v>631</v>
      </c>
      <c r="D431" s="1" t="str">
        <f>_xlfn.CONCAT(mmmm[[#This Row],[First Name]]," ",mmmm[[#This Row],[Last Name]])</f>
        <v>Ayham Kharbutli</v>
      </c>
      <c r="E431" s="19" t="s">
        <v>18</v>
      </c>
      <c r="F431" s="11">
        <v>43661</v>
      </c>
      <c r="G431" s="19">
        <v>7</v>
      </c>
      <c r="H431" s="19" t="s">
        <v>146</v>
      </c>
      <c r="I431" s="19" t="s">
        <v>20</v>
      </c>
      <c r="J431" s="1" t="s">
        <v>62</v>
      </c>
      <c r="K431" s="19">
        <v>2542</v>
      </c>
      <c r="L431" s="19">
        <v>30504</v>
      </c>
      <c r="M431" s="19">
        <v>3</v>
      </c>
      <c r="N431" s="19">
        <v>1</v>
      </c>
      <c r="O431" s="1">
        <v>0</v>
      </c>
      <c r="P431" s="19">
        <v>3</v>
      </c>
    </row>
    <row r="432" spans="1:16">
      <c r="A432" s="1">
        <v>431</v>
      </c>
      <c r="B432" s="1" t="s">
        <v>212</v>
      </c>
      <c r="C432" s="1" t="s">
        <v>476</v>
      </c>
      <c r="D432" s="1" t="str">
        <f>_xlfn.CONCAT(mmmm[[#This Row],[First Name]]," ",mmmm[[#This Row],[Last Name]])</f>
        <v>Sahar Jaridiun</v>
      </c>
      <c r="E432" s="19" t="s">
        <v>27</v>
      </c>
      <c r="F432" s="11">
        <v>42654</v>
      </c>
      <c r="G432" s="19">
        <v>9</v>
      </c>
      <c r="H432" s="19" t="s">
        <v>90</v>
      </c>
      <c r="I432" s="19" t="s">
        <v>32</v>
      </c>
      <c r="J432" s="1" t="s">
        <v>560</v>
      </c>
      <c r="K432" s="19">
        <v>1966</v>
      </c>
      <c r="L432" s="19">
        <v>23592</v>
      </c>
      <c r="M432" s="19">
        <v>4.5</v>
      </c>
      <c r="N432" s="19">
        <v>0</v>
      </c>
      <c r="O432" s="1">
        <v>0</v>
      </c>
      <c r="P432" s="19">
        <v>8</v>
      </c>
    </row>
    <row r="433" spans="1:16">
      <c r="A433" s="1">
        <v>432</v>
      </c>
      <c r="B433" s="1" t="s">
        <v>36</v>
      </c>
      <c r="C433" s="1" t="s">
        <v>632</v>
      </c>
      <c r="D433" s="1" t="str">
        <f>_xlfn.CONCAT(mmmm[[#This Row],[First Name]]," ",mmmm[[#This Row],[Last Name]])</f>
        <v>Muhamad Tamur</v>
      </c>
      <c r="E433" s="19" t="s">
        <v>18</v>
      </c>
      <c r="F433" s="11">
        <v>43652</v>
      </c>
      <c r="G433" s="19">
        <v>7</v>
      </c>
      <c r="H433" s="19" t="s">
        <v>31</v>
      </c>
      <c r="I433" s="19" t="s">
        <v>20</v>
      </c>
      <c r="J433" s="1" t="s">
        <v>33</v>
      </c>
      <c r="K433" s="19">
        <v>2977</v>
      </c>
      <c r="L433" s="19">
        <v>35724</v>
      </c>
      <c r="M433" s="19">
        <v>4.5</v>
      </c>
      <c r="N433" s="19">
        <v>0</v>
      </c>
      <c r="O433" s="1">
        <v>0</v>
      </c>
      <c r="P433" s="19">
        <v>8</v>
      </c>
    </row>
    <row r="434" spans="1:16">
      <c r="A434" s="1">
        <v>433</v>
      </c>
      <c r="B434" s="1" t="s">
        <v>69</v>
      </c>
      <c r="C434" s="1" t="s">
        <v>633</v>
      </c>
      <c r="D434" s="1" t="str">
        <f>_xlfn.CONCAT(mmmm[[#This Row],[First Name]]," ",mmmm[[#This Row],[Last Name]])</f>
        <v>Ayham Alkhlf</v>
      </c>
      <c r="E434" s="19" t="s">
        <v>18</v>
      </c>
      <c r="F434" s="11">
        <v>43043</v>
      </c>
      <c r="G434" s="19">
        <v>8</v>
      </c>
      <c r="H434" s="19" t="s">
        <v>79</v>
      </c>
      <c r="I434" s="19" t="s">
        <v>32</v>
      </c>
      <c r="J434" s="1" t="s">
        <v>33</v>
      </c>
      <c r="K434" s="19">
        <v>1404</v>
      </c>
      <c r="L434" s="19">
        <v>16848</v>
      </c>
      <c r="M434" s="19">
        <v>1</v>
      </c>
      <c r="N434" s="19">
        <v>5</v>
      </c>
      <c r="O434" s="1">
        <v>0</v>
      </c>
      <c r="P434" s="19">
        <v>10</v>
      </c>
    </row>
    <row r="435" spans="1:16">
      <c r="A435" s="1">
        <v>434</v>
      </c>
      <c r="B435" s="1" t="s">
        <v>297</v>
      </c>
      <c r="C435" s="1" t="s">
        <v>634</v>
      </c>
      <c r="D435" s="1" t="str">
        <f>_xlfn.CONCAT(mmmm[[#This Row],[First Name]]," ",mmmm[[#This Row],[Last Name]])</f>
        <v>Emar Eisaf</v>
      </c>
      <c r="E435" s="19" t="s">
        <v>27</v>
      </c>
      <c r="F435" s="11">
        <v>43136</v>
      </c>
      <c r="G435" s="19">
        <v>8</v>
      </c>
      <c r="H435" s="19" t="s">
        <v>19</v>
      </c>
      <c r="I435" s="19" t="s">
        <v>50</v>
      </c>
      <c r="J435" s="1" t="s">
        <v>39</v>
      </c>
      <c r="K435" s="19">
        <v>1848</v>
      </c>
      <c r="L435" s="19">
        <v>22176</v>
      </c>
      <c r="M435" s="19">
        <v>3</v>
      </c>
      <c r="N435" s="19">
        <v>0</v>
      </c>
      <c r="O435" s="1">
        <v>0</v>
      </c>
      <c r="P435" s="19">
        <v>2</v>
      </c>
    </row>
    <row r="436" spans="1:16">
      <c r="A436" s="1">
        <v>435</v>
      </c>
      <c r="B436" s="1" t="s">
        <v>40</v>
      </c>
      <c r="C436" s="1" t="s">
        <v>635</v>
      </c>
      <c r="D436" s="1" t="str">
        <f>_xlfn.CONCAT(mmmm[[#This Row],[First Name]]," ",mmmm[[#This Row],[Last Name]])</f>
        <v>Iin Bitahish</v>
      </c>
      <c r="E436" s="19" t="s">
        <v>27</v>
      </c>
      <c r="F436" s="11">
        <v>44082</v>
      </c>
      <c r="G436" s="19">
        <v>5</v>
      </c>
      <c r="H436" s="19" t="s">
        <v>31</v>
      </c>
      <c r="I436" s="19" t="s">
        <v>20</v>
      </c>
      <c r="J436" s="1" t="s">
        <v>39</v>
      </c>
      <c r="K436" s="19">
        <v>2069</v>
      </c>
      <c r="L436" s="19">
        <v>24828</v>
      </c>
      <c r="M436" s="19">
        <v>3</v>
      </c>
      <c r="N436" s="19">
        <v>2</v>
      </c>
      <c r="O436" s="1">
        <v>5</v>
      </c>
      <c r="P436" s="19">
        <v>6</v>
      </c>
    </row>
    <row r="437" spans="1:16">
      <c r="A437" s="1">
        <v>436</v>
      </c>
      <c r="B437" s="1" t="s">
        <v>636</v>
      </c>
      <c r="C437" s="1" t="s">
        <v>637</v>
      </c>
      <c r="D437" s="1" t="str">
        <f>_xlfn.CONCAT(mmmm[[#This Row],[First Name]]," ",mmmm[[#This Row],[Last Name]])</f>
        <v>Abdalrhim Eimaruh</v>
      </c>
      <c r="E437" s="19" t="s">
        <v>18</v>
      </c>
      <c r="F437" s="11">
        <v>44122</v>
      </c>
      <c r="G437" s="19">
        <v>5</v>
      </c>
      <c r="H437" s="19" t="s">
        <v>79</v>
      </c>
      <c r="I437" s="19" t="s">
        <v>24</v>
      </c>
      <c r="J437" s="1" t="s">
        <v>39</v>
      </c>
      <c r="K437" s="19">
        <v>1072</v>
      </c>
      <c r="L437" s="19">
        <v>12864</v>
      </c>
      <c r="M437" s="19">
        <v>4.5</v>
      </c>
      <c r="N437" s="19">
        <v>0</v>
      </c>
      <c r="O437" s="1">
        <v>0</v>
      </c>
      <c r="P437" s="19">
        <v>6</v>
      </c>
    </row>
    <row r="438" spans="1:16">
      <c r="A438" s="1">
        <v>437</v>
      </c>
      <c r="B438" s="1" t="s">
        <v>638</v>
      </c>
      <c r="C438" s="1" t="s">
        <v>639</v>
      </c>
      <c r="D438" s="1" t="str">
        <f>_xlfn.CONCAT(mmmm[[#This Row],[First Name]]," ",mmmm[[#This Row],[Last Name]])</f>
        <v>Bashaer Hadalah</v>
      </c>
      <c r="E438" s="19" t="s">
        <v>27</v>
      </c>
      <c r="F438" s="11">
        <v>43813</v>
      </c>
      <c r="G438" s="19">
        <v>6</v>
      </c>
      <c r="H438" s="19" t="s">
        <v>38</v>
      </c>
      <c r="I438" s="19" t="s">
        <v>20</v>
      </c>
      <c r="J438" s="1" t="s">
        <v>33</v>
      </c>
      <c r="K438" s="19">
        <v>1984</v>
      </c>
      <c r="L438" s="19">
        <v>23808</v>
      </c>
      <c r="M438" s="19">
        <v>1</v>
      </c>
      <c r="N438" s="19">
        <v>1</v>
      </c>
      <c r="O438" s="1">
        <v>0</v>
      </c>
      <c r="P438" s="19">
        <v>8</v>
      </c>
    </row>
    <row r="439" spans="1:16">
      <c r="A439" s="1">
        <v>438</v>
      </c>
      <c r="B439" s="1" t="s">
        <v>467</v>
      </c>
      <c r="C439" s="1" t="s">
        <v>640</v>
      </c>
      <c r="D439" s="1" t="str">
        <f>_xlfn.CONCAT(mmmm[[#This Row],[First Name]]," ",mmmm[[#This Row],[Last Name]])</f>
        <v>Sana Maeruf</v>
      </c>
      <c r="E439" s="19" t="s">
        <v>27</v>
      </c>
      <c r="F439" s="11">
        <v>44064</v>
      </c>
      <c r="G439" s="19">
        <v>5</v>
      </c>
      <c r="H439" s="19" t="s">
        <v>44</v>
      </c>
      <c r="I439" s="19" t="s">
        <v>20</v>
      </c>
      <c r="J439" s="1" t="s">
        <v>39</v>
      </c>
      <c r="K439" s="19">
        <v>999</v>
      </c>
      <c r="L439" s="19">
        <v>11988</v>
      </c>
      <c r="M439" s="19">
        <v>1</v>
      </c>
      <c r="N439" s="19">
        <v>5</v>
      </c>
      <c r="O439" s="1">
        <v>0</v>
      </c>
      <c r="P439" s="19">
        <v>61</v>
      </c>
    </row>
    <row r="440" spans="1:16">
      <c r="A440" s="1">
        <v>439</v>
      </c>
      <c r="B440" s="1" t="s">
        <v>304</v>
      </c>
      <c r="C440" s="1" t="s">
        <v>641</v>
      </c>
      <c r="D440" s="1" t="str">
        <f>_xlfn.CONCAT(mmmm[[#This Row],[First Name]]," ",mmmm[[#This Row],[Last Name]])</f>
        <v>Amir Alnuwnu</v>
      </c>
      <c r="E440" s="19" t="s">
        <v>18</v>
      </c>
      <c r="F440" s="11">
        <v>43966</v>
      </c>
      <c r="G440" s="19">
        <v>6</v>
      </c>
      <c r="H440" s="19" t="s">
        <v>19</v>
      </c>
      <c r="I440" s="19" t="s">
        <v>50</v>
      </c>
      <c r="J440" s="1" t="s">
        <v>21</v>
      </c>
      <c r="K440" s="19">
        <v>2915</v>
      </c>
      <c r="L440" s="19">
        <v>34980</v>
      </c>
      <c r="M440" s="19">
        <v>3</v>
      </c>
      <c r="N440" s="19">
        <v>0</v>
      </c>
      <c r="O440" s="1">
        <v>0</v>
      </c>
      <c r="P440" s="19">
        <v>5</v>
      </c>
    </row>
    <row r="441" spans="1:16">
      <c r="A441" s="1">
        <v>440</v>
      </c>
      <c r="B441" s="1" t="s">
        <v>68</v>
      </c>
      <c r="C441" s="1" t="s">
        <v>642</v>
      </c>
      <c r="D441" s="1" t="str">
        <f>_xlfn.CONCAT(mmmm[[#This Row],[First Name]]," ",mmmm[[#This Row],[Last Name]])</f>
        <v>Salim Albarghali</v>
      </c>
      <c r="E441" s="19" t="s">
        <v>18</v>
      </c>
      <c r="F441" s="11">
        <v>43770</v>
      </c>
      <c r="G441" s="19">
        <v>6</v>
      </c>
      <c r="H441" s="19" t="s">
        <v>55</v>
      </c>
      <c r="I441" s="19" t="s">
        <v>20</v>
      </c>
      <c r="J441" s="1" t="s">
        <v>560</v>
      </c>
      <c r="K441" s="19">
        <v>3158</v>
      </c>
      <c r="L441" s="19">
        <v>37896</v>
      </c>
      <c r="M441" s="19">
        <v>4.5</v>
      </c>
      <c r="N441" s="19">
        <v>3</v>
      </c>
      <c r="O441" s="1">
        <v>0</v>
      </c>
      <c r="P441" s="19">
        <v>7</v>
      </c>
    </row>
    <row r="442" spans="1:16">
      <c r="A442" s="1">
        <v>441</v>
      </c>
      <c r="B442" s="1" t="s">
        <v>40</v>
      </c>
      <c r="C442" s="1" t="s">
        <v>341</v>
      </c>
      <c r="D442" s="1" t="str">
        <f>_xlfn.CONCAT(mmmm[[#This Row],[First Name]]," ",mmmm[[#This Row],[Last Name]])</f>
        <v>Iin Murad</v>
      </c>
      <c r="E442" s="19" t="s">
        <v>27</v>
      </c>
      <c r="F442" s="11">
        <v>42977</v>
      </c>
      <c r="G442" s="19">
        <v>8</v>
      </c>
      <c r="H442" s="19" t="s">
        <v>52</v>
      </c>
      <c r="I442" s="19" t="s">
        <v>20</v>
      </c>
      <c r="J442" s="1" t="s">
        <v>39</v>
      </c>
      <c r="K442" s="19">
        <v>711</v>
      </c>
      <c r="L442" s="19">
        <v>8532</v>
      </c>
      <c r="M442" s="19">
        <v>5</v>
      </c>
      <c r="N442" s="19">
        <v>0</v>
      </c>
      <c r="O442" s="1">
        <v>0</v>
      </c>
      <c r="P442" s="19">
        <v>10</v>
      </c>
    </row>
    <row r="443" spans="1:16">
      <c r="A443" s="1">
        <v>442</v>
      </c>
      <c r="B443" s="1" t="s">
        <v>643</v>
      </c>
      <c r="C443" s="1" t="s">
        <v>644</v>
      </c>
      <c r="D443" s="1" t="str">
        <f>_xlfn.CONCAT(mmmm[[#This Row],[First Name]]," ",mmmm[[#This Row],[Last Name]])</f>
        <v>Baha Aldiyn Marzuq</v>
      </c>
      <c r="E443" s="19" t="s">
        <v>18</v>
      </c>
      <c r="F443" s="11">
        <v>43195</v>
      </c>
      <c r="G443" s="19">
        <v>8</v>
      </c>
      <c r="H443" s="19" t="s">
        <v>19</v>
      </c>
      <c r="I443" s="19" t="s">
        <v>24</v>
      </c>
      <c r="J443" s="1" t="s">
        <v>21</v>
      </c>
      <c r="K443" s="19">
        <v>899</v>
      </c>
      <c r="L443" s="19">
        <v>10788</v>
      </c>
      <c r="M443" s="19">
        <v>5</v>
      </c>
      <c r="N443" s="19">
        <v>6</v>
      </c>
      <c r="O443" s="1">
        <v>0</v>
      </c>
      <c r="P443" s="19">
        <v>38</v>
      </c>
    </row>
    <row r="444" spans="1:16">
      <c r="A444" s="1">
        <v>443</v>
      </c>
      <c r="B444" s="1" t="s">
        <v>265</v>
      </c>
      <c r="C444" s="1" t="s">
        <v>645</v>
      </c>
      <c r="D444" s="1" t="str">
        <f>_xlfn.CONCAT(mmmm[[#This Row],[First Name]]," ",mmmm[[#This Row],[Last Name]])</f>
        <v>Abd Alruhmin Hamj</v>
      </c>
      <c r="E444" s="19" t="s">
        <v>18</v>
      </c>
      <c r="F444" s="11">
        <v>43900</v>
      </c>
      <c r="G444" s="19">
        <v>6</v>
      </c>
      <c r="H444" s="19" t="s">
        <v>44</v>
      </c>
      <c r="I444" s="19" t="s">
        <v>20</v>
      </c>
      <c r="J444" s="1" t="s">
        <v>33</v>
      </c>
      <c r="K444" s="19">
        <v>2571</v>
      </c>
      <c r="L444" s="19">
        <v>30852</v>
      </c>
      <c r="M444" s="19">
        <v>3</v>
      </c>
      <c r="N444" s="19">
        <v>1</v>
      </c>
      <c r="O444" s="1">
        <v>0</v>
      </c>
      <c r="P444" s="19">
        <v>6</v>
      </c>
    </row>
    <row r="445" spans="1:16">
      <c r="A445" s="1">
        <v>444</v>
      </c>
      <c r="B445" s="1" t="s">
        <v>34</v>
      </c>
      <c r="C445" s="1" t="s">
        <v>646</v>
      </c>
      <c r="D445" s="1" t="str">
        <f>_xlfn.CONCAT(mmmm[[#This Row],[First Name]]," ",mmmm[[#This Row],[Last Name]])</f>
        <v>Ahmad Bradey</v>
      </c>
      <c r="E445" s="19" t="s">
        <v>18</v>
      </c>
      <c r="F445" s="11">
        <v>43265</v>
      </c>
      <c r="G445" s="19">
        <v>8</v>
      </c>
      <c r="H445" s="19" t="s">
        <v>19</v>
      </c>
      <c r="I445" s="19" t="s">
        <v>20</v>
      </c>
      <c r="J445" s="1" t="s">
        <v>560</v>
      </c>
      <c r="K445" s="19">
        <v>2437</v>
      </c>
      <c r="L445" s="19">
        <v>29244</v>
      </c>
      <c r="M445" s="19">
        <v>5</v>
      </c>
      <c r="N445" s="19">
        <v>0</v>
      </c>
      <c r="O445" s="1">
        <v>4</v>
      </c>
      <c r="P445" s="19">
        <v>8</v>
      </c>
    </row>
    <row r="446" spans="1:16">
      <c r="A446" s="1">
        <v>445</v>
      </c>
      <c r="B446" s="1" t="s">
        <v>647</v>
      </c>
      <c r="C446" s="1" t="s">
        <v>648</v>
      </c>
      <c r="D446" s="1" t="str">
        <f>_xlfn.CONCAT(mmmm[[#This Row],[First Name]]," ",mmmm[[#This Row],[Last Name]])</f>
        <v>Sabah Qadish</v>
      </c>
      <c r="E446" s="19" t="s">
        <v>27</v>
      </c>
      <c r="F446" s="11">
        <v>43542</v>
      </c>
      <c r="G446" s="19">
        <v>7</v>
      </c>
      <c r="H446" s="19" t="s">
        <v>31</v>
      </c>
      <c r="I446" s="19" t="s">
        <v>20</v>
      </c>
      <c r="J446" s="1" t="s">
        <v>560</v>
      </c>
      <c r="K446" s="19">
        <v>2453</v>
      </c>
      <c r="L446" s="19">
        <v>29436</v>
      </c>
      <c r="M446" s="19">
        <v>5</v>
      </c>
      <c r="N446" s="19">
        <v>1</v>
      </c>
      <c r="O446" s="1">
        <v>0</v>
      </c>
      <c r="P446" s="19">
        <v>6</v>
      </c>
    </row>
    <row r="447" spans="1:16">
      <c r="A447" s="1">
        <v>446</v>
      </c>
      <c r="B447" s="1" t="s">
        <v>649</v>
      </c>
      <c r="C447" s="1" t="s">
        <v>144</v>
      </c>
      <c r="D447" s="1" t="str">
        <f>_xlfn.CONCAT(mmmm[[#This Row],[First Name]]," ",mmmm[[#This Row],[Last Name]])</f>
        <v>Asra Almisri</v>
      </c>
      <c r="E447" s="19" t="s">
        <v>27</v>
      </c>
      <c r="F447" s="11">
        <v>43279</v>
      </c>
      <c r="G447" s="19">
        <v>8</v>
      </c>
      <c r="H447" s="19" t="s">
        <v>31</v>
      </c>
      <c r="I447" s="19" t="s">
        <v>20</v>
      </c>
      <c r="J447" s="1" t="s">
        <v>560</v>
      </c>
      <c r="K447" s="19">
        <v>1839</v>
      </c>
      <c r="L447" s="19">
        <v>22068</v>
      </c>
      <c r="M447" s="19">
        <v>5</v>
      </c>
      <c r="N447" s="19">
        <v>1</v>
      </c>
      <c r="O447" s="1">
        <v>0</v>
      </c>
      <c r="P447" s="19">
        <v>9</v>
      </c>
    </row>
    <row r="448" spans="1:16">
      <c r="A448" s="1">
        <v>447</v>
      </c>
      <c r="B448" s="1" t="s">
        <v>129</v>
      </c>
      <c r="C448" s="1" t="s">
        <v>650</v>
      </c>
      <c r="D448" s="1" t="str">
        <f>_xlfn.CONCAT(mmmm[[#This Row],[First Name]]," ",mmmm[[#This Row],[Last Name]])</f>
        <v>Faras Kawaara</v>
      </c>
      <c r="E448" s="19" t="s">
        <v>18</v>
      </c>
      <c r="F448" s="11">
        <v>42787</v>
      </c>
      <c r="G448" s="19">
        <v>9</v>
      </c>
      <c r="H448" s="19" t="s">
        <v>19</v>
      </c>
      <c r="I448" s="19" t="s">
        <v>32</v>
      </c>
      <c r="J448" s="1" t="s">
        <v>21</v>
      </c>
      <c r="K448" s="19">
        <v>2306</v>
      </c>
      <c r="L448" s="19">
        <v>27672</v>
      </c>
      <c r="M448" s="19">
        <v>1</v>
      </c>
      <c r="N448" s="19">
        <v>6</v>
      </c>
      <c r="O448" s="1">
        <v>0</v>
      </c>
      <c r="P448" s="19">
        <v>7</v>
      </c>
    </row>
    <row r="449" spans="1:16">
      <c r="A449" s="1">
        <v>448</v>
      </c>
      <c r="B449" s="1" t="s">
        <v>36</v>
      </c>
      <c r="C449" s="1" t="s">
        <v>651</v>
      </c>
      <c r="D449" s="1" t="str">
        <f>_xlfn.CONCAT(mmmm[[#This Row],[First Name]]," ",mmmm[[#This Row],[Last Name]])</f>
        <v>Muhamad Abunfis</v>
      </c>
      <c r="E449" s="19" t="s">
        <v>18</v>
      </c>
      <c r="F449" s="11">
        <v>43269</v>
      </c>
      <c r="G449" s="19">
        <v>8</v>
      </c>
      <c r="H449" s="19" t="s">
        <v>38</v>
      </c>
      <c r="I449" s="19" t="s">
        <v>50</v>
      </c>
      <c r="J449" s="1" t="s">
        <v>33</v>
      </c>
      <c r="K449" s="19">
        <v>970</v>
      </c>
      <c r="L449" s="19">
        <v>11640</v>
      </c>
      <c r="M449" s="19">
        <v>1</v>
      </c>
      <c r="N449" s="19">
        <v>0</v>
      </c>
      <c r="O449" s="1">
        <v>0</v>
      </c>
      <c r="P449" s="19">
        <v>5</v>
      </c>
    </row>
    <row r="450" spans="1:16">
      <c r="A450" s="1">
        <v>449</v>
      </c>
      <c r="B450" s="1" t="s">
        <v>652</v>
      </c>
      <c r="C450" s="1" t="s">
        <v>497</v>
      </c>
      <c r="D450" s="1" t="str">
        <f>_xlfn.CONCAT(mmmm[[#This Row],[First Name]]," ",mmmm[[#This Row],[Last Name]])</f>
        <v>Lawiy Shiah</v>
      </c>
      <c r="E450" s="19" t="s">
        <v>18</v>
      </c>
      <c r="F450" s="11">
        <v>43224</v>
      </c>
      <c r="G450" s="19">
        <v>8</v>
      </c>
      <c r="H450" s="19" t="s">
        <v>79</v>
      </c>
      <c r="I450" s="19" t="s">
        <v>20</v>
      </c>
      <c r="J450" s="1" t="s">
        <v>39</v>
      </c>
      <c r="K450" s="19">
        <v>3140</v>
      </c>
      <c r="L450" s="19">
        <v>37680</v>
      </c>
      <c r="M450" s="19">
        <v>3</v>
      </c>
      <c r="N450" s="19">
        <v>6</v>
      </c>
      <c r="O450" s="1">
        <v>1</v>
      </c>
      <c r="P450" s="19">
        <v>5</v>
      </c>
    </row>
    <row r="451" spans="1:16">
      <c r="A451" s="1">
        <v>450</v>
      </c>
      <c r="B451" s="1" t="s">
        <v>653</v>
      </c>
      <c r="C451" s="1" t="s">
        <v>654</v>
      </c>
      <c r="D451" s="1" t="str">
        <f>_xlfn.CONCAT(mmmm[[#This Row],[First Name]]," ",mmmm[[#This Row],[Last Name]])</f>
        <v>Rama Alsaghir</v>
      </c>
      <c r="E451" s="19" t="s">
        <v>27</v>
      </c>
      <c r="F451" s="11">
        <v>42835</v>
      </c>
      <c r="G451" s="19">
        <v>9</v>
      </c>
      <c r="H451" s="19" t="s">
        <v>90</v>
      </c>
      <c r="I451" s="19" t="s">
        <v>20</v>
      </c>
      <c r="J451" s="1" t="s">
        <v>33</v>
      </c>
      <c r="K451" s="19">
        <v>1176</v>
      </c>
      <c r="L451" s="19">
        <v>14112</v>
      </c>
      <c r="M451" s="19">
        <v>5</v>
      </c>
      <c r="N451" s="19">
        <v>2</v>
      </c>
      <c r="O451" s="1">
        <v>0</v>
      </c>
      <c r="P451" s="19">
        <v>6</v>
      </c>
    </row>
    <row r="452" spans="1:16">
      <c r="A452" s="1">
        <v>451</v>
      </c>
      <c r="B452" s="1" t="s">
        <v>34</v>
      </c>
      <c r="C452" s="1" t="s">
        <v>655</v>
      </c>
      <c r="D452" s="1" t="str">
        <f>_xlfn.CONCAT(mmmm[[#This Row],[First Name]]," ",mmmm[[#This Row],[Last Name]])</f>
        <v>Ahmad Qadimati</v>
      </c>
      <c r="E452" s="19" t="s">
        <v>18</v>
      </c>
      <c r="F452" s="11">
        <v>43698</v>
      </c>
      <c r="G452" s="19">
        <v>6</v>
      </c>
      <c r="H452" s="19" t="s">
        <v>55</v>
      </c>
      <c r="I452" s="19" t="s">
        <v>32</v>
      </c>
      <c r="J452" s="1" t="s">
        <v>560</v>
      </c>
      <c r="K452" s="19">
        <v>2742</v>
      </c>
      <c r="L452" s="19">
        <v>32904</v>
      </c>
      <c r="M452" s="19">
        <v>5</v>
      </c>
      <c r="N452" s="19">
        <v>0</v>
      </c>
      <c r="O452" s="1">
        <v>0</v>
      </c>
      <c r="P452" s="19">
        <v>9</v>
      </c>
    </row>
    <row r="453" spans="1:16">
      <c r="A453" s="1">
        <v>452</v>
      </c>
      <c r="B453" s="1" t="s">
        <v>656</v>
      </c>
      <c r="C453" s="1" t="s">
        <v>657</v>
      </c>
      <c r="D453" s="1" t="str">
        <f>_xlfn.CONCAT(mmmm[[#This Row],[First Name]]," ",mmmm[[#This Row],[Last Name]])</f>
        <v>Qays Dahna</v>
      </c>
      <c r="E453" s="19" t="s">
        <v>18</v>
      </c>
      <c r="F453" s="11">
        <v>42996</v>
      </c>
      <c r="G453" s="19">
        <v>8</v>
      </c>
      <c r="H453" s="19" t="s">
        <v>19</v>
      </c>
      <c r="I453" s="19" t="s">
        <v>20</v>
      </c>
      <c r="J453" s="1" t="s">
        <v>21</v>
      </c>
      <c r="K453" s="19">
        <v>734</v>
      </c>
      <c r="L453" s="19">
        <v>8808</v>
      </c>
      <c r="M453" s="19">
        <v>3</v>
      </c>
      <c r="N453" s="19">
        <v>0</v>
      </c>
      <c r="O453" s="1">
        <v>0</v>
      </c>
      <c r="P453" s="19">
        <v>0</v>
      </c>
    </row>
    <row r="454" spans="1:16">
      <c r="A454" s="1">
        <v>453</v>
      </c>
      <c r="B454" s="1" t="s">
        <v>658</v>
      </c>
      <c r="C454" s="1" t="s">
        <v>659</v>
      </c>
      <c r="D454" s="1" t="str">
        <f>_xlfn.CONCAT(mmmm[[#This Row],[First Name]]," ",mmmm[[#This Row],[Last Name]])</f>
        <v>Raja Eaziza</v>
      </c>
      <c r="E454" s="19" t="s">
        <v>18</v>
      </c>
      <c r="F454" s="11">
        <v>43133</v>
      </c>
      <c r="G454" s="19">
        <v>8</v>
      </c>
      <c r="H454" s="19" t="s">
        <v>31</v>
      </c>
      <c r="I454" s="19" t="s">
        <v>50</v>
      </c>
      <c r="J454" s="1" t="s">
        <v>33</v>
      </c>
      <c r="K454" s="19">
        <v>894</v>
      </c>
      <c r="L454" s="19">
        <v>10728</v>
      </c>
      <c r="M454" s="19">
        <v>3</v>
      </c>
      <c r="N454" s="19">
        <v>6</v>
      </c>
      <c r="O454" s="1">
        <v>0</v>
      </c>
      <c r="P454" s="19">
        <v>93</v>
      </c>
    </row>
    <row r="455" spans="1:16">
      <c r="A455" s="1">
        <v>454</v>
      </c>
      <c r="B455" s="1" t="s">
        <v>297</v>
      </c>
      <c r="C455" s="1" t="s">
        <v>660</v>
      </c>
      <c r="D455" s="1" t="str">
        <f>_xlfn.CONCAT(mmmm[[#This Row],[First Name]]," ",mmmm[[#This Row],[Last Name]])</f>
        <v>Emar Nakaash</v>
      </c>
      <c r="E455" s="19" t="s">
        <v>27</v>
      </c>
      <c r="F455" s="11">
        <v>44144</v>
      </c>
      <c r="G455" s="19">
        <v>5</v>
      </c>
      <c r="H455" s="19" t="s">
        <v>44</v>
      </c>
      <c r="I455" s="19" t="s">
        <v>24</v>
      </c>
      <c r="J455" s="1" t="s">
        <v>560</v>
      </c>
      <c r="K455" s="19">
        <v>2640</v>
      </c>
      <c r="L455" s="19">
        <v>31680</v>
      </c>
      <c r="M455" s="19">
        <v>4.5</v>
      </c>
      <c r="N455" s="19">
        <v>1</v>
      </c>
      <c r="O455" s="1">
        <v>5</v>
      </c>
      <c r="P455" s="19">
        <v>4</v>
      </c>
    </row>
    <row r="456" spans="1:16">
      <c r="A456" s="1">
        <v>455</v>
      </c>
      <c r="B456" s="1" t="s">
        <v>208</v>
      </c>
      <c r="C456" s="1" t="s">
        <v>661</v>
      </c>
      <c r="D456" s="1" t="str">
        <f>_xlfn.CONCAT(mmmm[[#This Row],[First Name]]," ",mmmm[[#This Row],[Last Name]])</f>
        <v>Ranya Khuluf</v>
      </c>
      <c r="E456" s="19" t="s">
        <v>27</v>
      </c>
      <c r="F456" s="11">
        <v>43497</v>
      </c>
      <c r="G456" s="19">
        <v>7</v>
      </c>
      <c r="H456" s="19" t="s">
        <v>31</v>
      </c>
      <c r="I456" s="19" t="s">
        <v>20</v>
      </c>
      <c r="J456" s="1" t="s">
        <v>39</v>
      </c>
      <c r="K456" s="19">
        <v>1059</v>
      </c>
      <c r="L456" s="19">
        <v>12708</v>
      </c>
      <c r="M456" s="19">
        <v>2</v>
      </c>
      <c r="N456" s="19">
        <v>0</v>
      </c>
      <c r="O456" s="1">
        <v>0</v>
      </c>
      <c r="P456" s="19">
        <v>14</v>
      </c>
    </row>
    <row r="457" spans="1:16">
      <c r="A457" s="1">
        <v>456</v>
      </c>
      <c r="B457" s="1" t="s">
        <v>498</v>
      </c>
      <c r="C457" s="1" t="s">
        <v>662</v>
      </c>
      <c r="D457" s="1" t="str">
        <f>_xlfn.CONCAT(mmmm[[#This Row],[First Name]]," ",mmmm[[#This Row],[Last Name]])</f>
        <v>Kinda Zaki</v>
      </c>
      <c r="E457" s="19" t="s">
        <v>27</v>
      </c>
      <c r="F457" s="11">
        <v>43260</v>
      </c>
      <c r="G457" s="19">
        <v>8</v>
      </c>
      <c r="H457" s="19" t="s">
        <v>38</v>
      </c>
      <c r="I457" s="19" t="s">
        <v>296</v>
      </c>
      <c r="J457" s="1" t="s">
        <v>39</v>
      </c>
      <c r="K457" s="19">
        <v>3337</v>
      </c>
      <c r="L457" s="19">
        <v>40044</v>
      </c>
      <c r="M457" s="19">
        <v>3</v>
      </c>
      <c r="N457" s="19">
        <v>0</v>
      </c>
      <c r="O457" s="1">
        <v>2</v>
      </c>
      <c r="P457" s="19">
        <v>6</v>
      </c>
    </row>
    <row r="458" spans="1:16">
      <c r="A458" s="1">
        <v>457</v>
      </c>
      <c r="B458" s="1" t="s">
        <v>36</v>
      </c>
      <c r="C458" s="1" t="s">
        <v>663</v>
      </c>
      <c r="D458" s="1" t="str">
        <f>_xlfn.CONCAT(mmmm[[#This Row],[First Name]]," ",mmmm[[#This Row],[Last Name]])</f>
        <v>Muhamad Asamh Tubae</v>
      </c>
      <c r="E458" s="19" t="s">
        <v>18</v>
      </c>
      <c r="F458" s="11">
        <v>44063</v>
      </c>
      <c r="G458" s="19">
        <v>5</v>
      </c>
      <c r="H458" s="19" t="s">
        <v>79</v>
      </c>
      <c r="I458" s="19" t="s">
        <v>20</v>
      </c>
      <c r="J458" s="1" t="s">
        <v>39</v>
      </c>
      <c r="K458" s="19">
        <v>3154</v>
      </c>
      <c r="L458" s="19">
        <v>37848</v>
      </c>
      <c r="M458" s="19">
        <v>3</v>
      </c>
      <c r="N458" s="19">
        <v>0</v>
      </c>
      <c r="O458" s="1">
        <v>0</v>
      </c>
      <c r="P458" s="19">
        <v>6</v>
      </c>
    </row>
    <row r="459" spans="1:16">
      <c r="A459" s="1">
        <v>458</v>
      </c>
      <c r="B459" s="1" t="s">
        <v>34</v>
      </c>
      <c r="C459" s="1" t="s">
        <v>664</v>
      </c>
      <c r="D459" s="1" t="str">
        <f>_xlfn.CONCAT(mmmm[[#This Row],[First Name]]," ",mmmm[[#This Row],[Last Name]])</f>
        <v>Ahmad Daeas</v>
      </c>
      <c r="E459" s="19" t="s">
        <v>18</v>
      </c>
      <c r="F459" s="11">
        <v>43508</v>
      </c>
      <c r="G459" s="19">
        <v>7</v>
      </c>
      <c r="H459" s="19" t="s">
        <v>55</v>
      </c>
      <c r="I459" s="19" t="s">
        <v>20</v>
      </c>
      <c r="J459" s="1" t="s">
        <v>33</v>
      </c>
      <c r="K459" s="19">
        <v>1618</v>
      </c>
      <c r="L459" s="19">
        <v>19416</v>
      </c>
      <c r="M459" s="19">
        <v>3</v>
      </c>
      <c r="N459" s="19">
        <v>1</v>
      </c>
      <c r="O459" s="1">
        <v>0</v>
      </c>
      <c r="P459" s="19">
        <v>1</v>
      </c>
    </row>
    <row r="460" spans="1:16">
      <c r="A460" s="1">
        <v>459</v>
      </c>
      <c r="B460" s="1" t="s">
        <v>36</v>
      </c>
      <c r="C460" s="1" t="s">
        <v>665</v>
      </c>
      <c r="D460" s="1" t="str">
        <f>_xlfn.CONCAT(mmmm[[#This Row],[First Name]]," ",mmmm[[#This Row],[Last Name]])</f>
        <v>Muhamad Shadi Alkhiat</v>
      </c>
      <c r="E460" s="19" t="s">
        <v>18</v>
      </c>
      <c r="F460" s="11">
        <v>42786</v>
      </c>
      <c r="G460" s="19">
        <v>9</v>
      </c>
      <c r="H460" s="19" t="s">
        <v>79</v>
      </c>
      <c r="I460" s="19" t="s">
        <v>32</v>
      </c>
      <c r="J460" s="1" t="s">
        <v>33</v>
      </c>
      <c r="K460" s="19">
        <v>1248</v>
      </c>
      <c r="L460" s="19">
        <v>14976</v>
      </c>
      <c r="M460" s="19">
        <v>5</v>
      </c>
      <c r="N460" s="19">
        <v>0</v>
      </c>
      <c r="O460" s="1">
        <v>6</v>
      </c>
      <c r="P460" s="19">
        <v>7</v>
      </c>
    </row>
    <row r="461" spans="1:16">
      <c r="A461" s="1">
        <v>460</v>
      </c>
      <c r="B461" s="1" t="s">
        <v>666</v>
      </c>
      <c r="C461" s="1" t="s">
        <v>667</v>
      </c>
      <c r="D461" s="1" t="str">
        <f>_xlfn.CONCAT(mmmm[[#This Row],[First Name]]," ",mmmm[[#This Row],[Last Name]])</f>
        <v>Omaimah Tqi Aldiyn</v>
      </c>
      <c r="E461" s="19" t="s">
        <v>27</v>
      </c>
      <c r="F461" s="11">
        <v>42978</v>
      </c>
      <c r="G461" s="19">
        <v>8</v>
      </c>
      <c r="H461" s="19" t="s">
        <v>79</v>
      </c>
      <c r="I461" s="19" t="s">
        <v>20</v>
      </c>
      <c r="J461" s="1" t="s">
        <v>62</v>
      </c>
      <c r="K461" s="19">
        <v>1523</v>
      </c>
      <c r="L461" s="19">
        <v>18276</v>
      </c>
      <c r="M461" s="19">
        <v>3</v>
      </c>
      <c r="N461" s="19">
        <v>6</v>
      </c>
      <c r="O461" s="1">
        <v>5</v>
      </c>
      <c r="P461" s="19">
        <v>4</v>
      </c>
    </row>
    <row r="462" spans="1:16">
      <c r="A462" s="1">
        <v>461</v>
      </c>
      <c r="B462" s="1" t="s">
        <v>668</v>
      </c>
      <c r="C462" s="1" t="s">
        <v>669</v>
      </c>
      <c r="D462" s="1" t="str">
        <f>_xlfn.CONCAT(mmmm[[#This Row],[First Name]]," ",mmmm[[#This Row],[Last Name]])</f>
        <v>Tahani Yasir</v>
      </c>
      <c r="E462" s="19" t="s">
        <v>27</v>
      </c>
      <c r="F462" s="11">
        <v>43475</v>
      </c>
      <c r="G462" s="19">
        <v>7</v>
      </c>
      <c r="H462" s="19" t="s">
        <v>31</v>
      </c>
      <c r="I462" s="19" t="s">
        <v>20</v>
      </c>
      <c r="J462" s="1" t="s">
        <v>39</v>
      </c>
      <c r="K462" s="19">
        <v>1275</v>
      </c>
      <c r="L462" s="19">
        <v>15300</v>
      </c>
      <c r="M462" s="19">
        <v>4.5</v>
      </c>
      <c r="N462" s="19">
        <v>3</v>
      </c>
      <c r="O462" s="1">
        <v>0</v>
      </c>
      <c r="P462" s="19">
        <v>9</v>
      </c>
    </row>
    <row r="463" spans="1:16">
      <c r="A463" s="1">
        <v>462</v>
      </c>
      <c r="B463" s="1" t="s">
        <v>370</v>
      </c>
      <c r="C463" s="1" t="s">
        <v>670</v>
      </c>
      <c r="D463" s="1" t="str">
        <f>_xlfn.CONCAT(mmmm[[#This Row],[First Name]]," ",mmmm[[#This Row],[Last Name]])</f>
        <v>Hasan Alfywmi</v>
      </c>
      <c r="E463" s="19" t="s">
        <v>18</v>
      </c>
      <c r="F463" s="11">
        <v>43472</v>
      </c>
      <c r="G463" s="19">
        <v>7</v>
      </c>
      <c r="H463" s="19" t="s">
        <v>44</v>
      </c>
      <c r="I463" s="19" t="s">
        <v>50</v>
      </c>
      <c r="J463" s="1" t="s">
        <v>39</v>
      </c>
      <c r="K463" s="19">
        <v>1549</v>
      </c>
      <c r="L463" s="19">
        <v>18588</v>
      </c>
      <c r="M463" s="19">
        <v>3</v>
      </c>
      <c r="N463" s="19">
        <v>2</v>
      </c>
      <c r="O463" s="1">
        <v>0</v>
      </c>
      <c r="P463" s="19">
        <v>5</v>
      </c>
    </row>
    <row r="464" spans="1:16">
      <c r="A464" s="1">
        <v>463</v>
      </c>
      <c r="B464" s="1" t="s">
        <v>374</v>
      </c>
      <c r="C464" s="1" t="s">
        <v>671</v>
      </c>
      <c r="D464" s="1" t="str">
        <f>_xlfn.CONCAT(mmmm[[#This Row],[First Name]]," ",mmmm[[#This Row],[Last Name]])</f>
        <v>Zahir Zarie</v>
      </c>
      <c r="E464" s="19" t="s">
        <v>18</v>
      </c>
      <c r="F464" s="11">
        <v>43618</v>
      </c>
      <c r="G464" s="19">
        <v>7</v>
      </c>
      <c r="H464" s="19" t="s">
        <v>90</v>
      </c>
      <c r="I464" s="19" t="s">
        <v>24</v>
      </c>
      <c r="J464" s="1" t="s">
        <v>560</v>
      </c>
      <c r="K464" s="19">
        <v>1786</v>
      </c>
      <c r="L464" s="19">
        <v>21432</v>
      </c>
      <c r="M464" s="19">
        <v>3</v>
      </c>
      <c r="N464" s="19">
        <v>4</v>
      </c>
      <c r="O464" s="1">
        <v>4</v>
      </c>
      <c r="P464" s="19">
        <v>1</v>
      </c>
    </row>
    <row r="465" spans="1:16">
      <c r="A465" s="1">
        <v>464</v>
      </c>
      <c r="B465" s="1" t="s">
        <v>36</v>
      </c>
      <c r="C465" s="1" t="s">
        <v>672</v>
      </c>
      <c r="D465" s="1" t="str">
        <f>_xlfn.CONCAT(mmmm[[#This Row],[First Name]]," ",mmmm[[#This Row],[Last Name]])</f>
        <v>Muhamad Eaqad</v>
      </c>
      <c r="E465" s="19" t="s">
        <v>18</v>
      </c>
      <c r="F465" s="11">
        <v>43557</v>
      </c>
      <c r="G465" s="19">
        <v>7</v>
      </c>
      <c r="H465" s="19" t="s">
        <v>79</v>
      </c>
      <c r="I465" s="19" t="s">
        <v>24</v>
      </c>
      <c r="J465" s="1" t="s">
        <v>33</v>
      </c>
      <c r="K465" s="19">
        <v>1908</v>
      </c>
      <c r="L465" s="19">
        <v>22896</v>
      </c>
      <c r="M465" s="19">
        <v>1</v>
      </c>
      <c r="N465" s="19">
        <v>0</v>
      </c>
      <c r="O465" s="1">
        <v>5</v>
      </c>
      <c r="P465" s="19">
        <v>7</v>
      </c>
    </row>
    <row r="466" spans="1:16">
      <c r="A466" s="1">
        <v>465</v>
      </c>
      <c r="B466" s="1" t="s">
        <v>34</v>
      </c>
      <c r="C466" s="1" t="s">
        <v>518</v>
      </c>
      <c r="D466" s="1" t="str">
        <f>_xlfn.CONCAT(mmmm[[#This Row],[First Name]]," ",mmmm[[#This Row],[Last Name]])</f>
        <v>Ahmad Hamuwd</v>
      </c>
      <c r="E466" s="19" t="s">
        <v>18</v>
      </c>
      <c r="F466" s="11">
        <v>43249</v>
      </c>
      <c r="G466" s="19">
        <v>8</v>
      </c>
      <c r="H466" s="19" t="s">
        <v>55</v>
      </c>
      <c r="I466" s="19" t="s">
        <v>32</v>
      </c>
      <c r="J466" s="1" t="s">
        <v>39</v>
      </c>
      <c r="K466" s="19">
        <v>2321</v>
      </c>
      <c r="L466" s="19">
        <v>27852</v>
      </c>
      <c r="M466" s="19">
        <v>5</v>
      </c>
      <c r="N466" s="19">
        <v>0</v>
      </c>
      <c r="O466" s="1">
        <v>0</v>
      </c>
      <c r="P466" s="19">
        <v>6</v>
      </c>
    </row>
    <row r="467" spans="1:16">
      <c r="A467" s="1">
        <v>466</v>
      </c>
      <c r="B467" s="1" t="s">
        <v>673</v>
      </c>
      <c r="C467" s="1" t="s">
        <v>674</v>
      </c>
      <c r="D467" s="1" t="str">
        <f>_xlfn.CONCAT(mmmm[[#This Row],[First Name]]," ",mmmm[[#This Row],[Last Name]])</f>
        <v>Ismaeil Jdwe</v>
      </c>
      <c r="E467" s="19" t="s">
        <v>18</v>
      </c>
      <c r="F467" s="11">
        <v>44109</v>
      </c>
      <c r="G467" s="19">
        <v>5</v>
      </c>
      <c r="H467" s="19" t="s">
        <v>55</v>
      </c>
      <c r="I467" s="19" t="s">
        <v>32</v>
      </c>
      <c r="J467" s="1" t="s">
        <v>33</v>
      </c>
      <c r="K467" s="19">
        <v>899</v>
      </c>
      <c r="L467" s="19">
        <v>10788</v>
      </c>
      <c r="M467" s="19">
        <v>1</v>
      </c>
      <c r="N467" s="19">
        <v>4</v>
      </c>
      <c r="O467" s="1">
        <v>0</v>
      </c>
      <c r="P467" s="19">
        <v>27</v>
      </c>
    </row>
    <row r="468" spans="1:16">
      <c r="A468" s="1">
        <v>467</v>
      </c>
      <c r="B468" s="1" t="s">
        <v>36</v>
      </c>
      <c r="C468" s="1" t="s">
        <v>675</v>
      </c>
      <c r="D468" s="1" t="str">
        <f>_xlfn.CONCAT(mmmm[[#This Row],[First Name]]," ",mmmm[[#This Row],[Last Name]])</f>
        <v>Muhamad Saeid Alzarey</v>
      </c>
      <c r="E468" s="19" t="s">
        <v>18</v>
      </c>
      <c r="F468" s="11">
        <v>43822</v>
      </c>
      <c r="G468" s="19">
        <v>6</v>
      </c>
      <c r="H468" s="19" t="s">
        <v>90</v>
      </c>
      <c r="I468" s="19" t="s">
        <v>20</v>
      </c>
      <c r="J468" s="1" t="s">
        <v>39</v>
      </c>
      <c r="K468" s="19">
        <v>1168</v>
      </c>
      <c r="L468" s="19">
        <v>14016</v>
      </c>
      <c r="M468" s="19">
        <v>5</v>
      </c>
      <c r="N468" s="19">
        <v>0</v>
      </c>
      <c r="O468" s="1">
        <v>0</v>
      </c>
      <c r="P468" s="19">
        <v>8</v>
      </c>
    </row>
    <row r="469" spans="1:16">
      <c r="A469" s="1">
        <v>468</v>
      </c>
      <c r="B469" s="1" t="s">
        <v>676</v>
      </c>
      <c r="C469" s="1" t="s">
        <v>677</v>
      </c>
      <c r="D469" s="1" t="str">
        <f>_xlfn.CONCAT(mmmm[[#This Row],[First Name]]," ",mmmm[[#This Row],[Last Name]])</f>
        <v>Bakr Eubdallah</v>
      </c>
      <c r="E469" s="19" t="s">
        <v>18</v>
      </c>
      <c r="F469" s="11">
        <v>43194</v>
      </c>
      <c r="G469" s="19">
        <v>8</v>
      </c>
      <c r="H469" s="19" t="s">
        <v>95</v>
      </c>
      <c r="I469" s="19" t="s">
        <v>20</v>
      </c>
      <c r="J469" s="1" t="s">
        <v>33</v>
      </c>
      <c r="K469" s="19">
        <v>2169</v>
      </c>
      <c r="L469" s="19">
        <v>26028</v>
      </c>
      <c r="M469" s="19">
        <v>1</v>
      </c>
      <c r="N469" s="19">
        <v>4</v>
      </c>
      <c r="O469" s="1">
        <v>0</v>
      </c>
      <c r="P469" s="19">
        <v>2</v>
      </c>
    </row>
    <row r="470" spans="1:16">
      <c r="A470" s="1">
        <v>469</v>
      </c>
      <c r="B470" s="1" t="s">
        <v>36</v>
      </c>
      <c r="C470" s="1" t="s">
        <v>389</v>
      </c>
      <c r="D470" s="1" t="str">
        <f>_xlfn.CONCAT(mmmm[[#This Row],[First Name]]," ",mmmm[[#This Row],[Last Name]])</f>
        <v>Muhamad Basil</v>
      </c>
      <c r="E470" s="19" t="s">
        <v>18</v>
      </c>
      <c r="F470" s="11">
        <v>43900</v>
      </c>
      <c r="G470" s="19">
        <v>6</v>
      </c>
      <c r="H470" s="19" t="s">
        <v>202</v>
      </c>
      <c r="I470" s="19" t="s">
        <v>296</v>
      </c>
      <c r="J470" s="1" t="s">
        <v>33</v>
      </c>
      <c r="K470" s="19">
        <v>2819</v>
      </c>
      <c r="L470" s="19">
        <v>33828</v>
      </c>
      <c r="M470" s="19">
        <v>4.5</v>
      </c>
      <c r="N470" s="19">
        <v>5</v>
      </c>
      <c r="O470" s="1">
        <v>0</v>
      </c>
      <c r="P470" s="19">
        <v>51</v>
      </c>
    </row>
    <row r="471" spans="1:16">
      <c r="A471" s="1">
        <v>470</v>
      </c>
      <c r="B471" s="1" t="s">
        <v>34</v>
      </c>
      <c r="C471" s="1" t="s">
        <v>678</v>
      </c>
      <c r="D471" s="1" t="str">
        <f>_xlfn.CONCAT(mmmm[[#This Row],[First Name]]," ",mmmm[[#This Row],[Last Name]])</f>
        <v>Ahmad Alnajar</v>
      </c>
      <c r="E471" s="19" t="s">
        <v>18</v>
      </c>
      <c r="F471" s="11">
        <v>43403</v>
      </c>
      <c r="G471" s="19">
        <v>7</v>
      </c>
      <c r="H471" s="19" t="s">
        <v>52</v>
      </c>
      <c r="I471" s="19" t="s">
        <v>32</v>
      </c>
      <c r="J471" s="1" t="s">
        <v>39</v>
      </c>
      <c r="K471" s="19">
        <v>847</v>
      </c>
      <c r="L471" s="19">
        <v>10164</v>
      </c>
      <c r="M471" s="19">
        <v>3</v>
      </c>
      <c r="N471" s="19">
        <v>0</v>
      </c>
      <c r="O471" s="1">
        <v>0</v>
      </c>
      <c r="P471" s="19">
        <v>3</v>
      </c>
    </row>
    <row r="472" spans="1:16">
      <c r="A472" s="1">
        <v>471</v>
      </c>
      <c r="B472" s="1" t="s">
        <v>36</v>
      </c>
      <c r="C472" s="1" t="s">
        <v>547</v>
      </c>
      <c r="D472" s="1" t="str">
        <f>_xlfn.CONCAT(mmmm[[#This Row],[First Name]]," ",mmmm[[#This Row],[Last Name]])</f>
        <v>Muhamad Alsaman</v>
      </c>
      <c r="E472" s="19" t="s">
        <v>18</v>
      </c>
      <c r="F472" s="11">
        <v>43900</v>
      </c>
      <c r="G472" s="19">
        <v>6</v>
      </c>
      <c r="H472" s="19" t="s">
        <v>44</v>
      </c>
      <c r="I472" s="19" t="s">
        <v>20</v>
      </c>
      <c r="J472" s="1" t="s">
        <v>21</v>
      </c>
      <c r="K472" s="19">
        <v>2308</v>
      </c>
      <c r="L472" s="19">
        <v>27696</v>
      </c>
      <c r="M472" s="19">
        <v>2</v>
      </c>
      <c r="N472" s="19">
        <v>0</v>
      </c>
      <c r="O472" s="1">
        <v>0</v>
      </c>
      <c r="P472" s="19">
        <v>13</v>
      </c>
    </row>
    <row r="473" spans="1:16">
      <c r="A473" s="1">
        <v>472</v>
      </c>
      <c r="B473" s="1" t="s">
        <v>86</v>
      </c>
      <c r="C473" s="1" t="s">
        <v>679</v>
      </c>
      <c r="D473" s="1" t="str">
        <f>_xlfn.CONCAT(mmmm[[#This Row],[First Name]]," ",mmmm[[#This Row],[Last Name]])</f>
        <v>Lina Wayly</v>
      </c>
      <c r="E473" s="19" t="s">
        <v>27</v>
      </c>
      <c r="F473" s="11">
        <v>43435</v>
      </c>
      <c r="G473" s="19">
        <v>7</v>
      </c>
      <c r="H473" s="19" t="s">
        <v>31</v>
      </c>
      <c r="I473" s="19" t="s">
        <v>20</v>
      </c>
      <c r="J473" s="1" t="s">
        <v>560</v>
      </c>
      <c r="K473" s="19">
        <v>1692</v>
      </c>
      <c r="L473" s="19">
        <v>20304</v>
      </c>
      <c r="M473" s="19">
        <v>4.5</v>
      </c>
      <c r="N473" s="19">
        <v>4</v>
      </c>
      <c r="O473" s="1">
        <v>0</v>
      </c>
      <c r="P473" s="19">
        <v>6</v>
      </c>
    </row>
    <row r="474" spans="1:16">
      <c r="A474" s="1">
        <v>473</v>
      </c>
      <c r="B474" s="1" t="s">
        <v>680</v>
      </c>
      <c r="C474" s="1" t="s">
        <v>161</v>
      </c>
      <c r="D474" s="1" t="str">
        <f>_xlfn.CONCAT(mmmm[[#This Row],[First Name]]," ",mmmm[[#This Row],[Last Name]])</f>
        <v>Raghid Hutayniun</v>
      </c>
      <c r="E474" s="19" t="s">
        <v>18</v>
      </c>
      <c r="F474" s="11">
        <v>43159</v>
      </c>
      <c r="G474" s="19">
        <v>8</v>
      </c>
      <c r="H474" s="19" t="s">
        <v>79</v>
      </c>
      <c r="I474" s="19" t="s">
        <v>20</v>
      </c>
      <c r="J474" s="1" t="s">
        <v>33</v>
      </c>
      <c r="K474" s="19">
        <v>1372</v>
      </c>
      <c r="L474" s="19">
        <v>16464</v>
      </c>
      <c r="M474" s="19">
        <v>1</v>
      </c>
      <c r="N474" s="19">
        <v>0</v>
      </c>
      <c r="O474" s="1">
        <v>0</v>
      </c>
      <c r="P474" s="19">
        <v>4</v>
      </c>
    </row>
    <row r="475" spans="1:16">
      <c r="A475" s="1">
        <v>474</v>
      </c>
      <c r="B475" s="1" t="s">
        <v>414</v>
      </c>
      <c r="C475" s="1" t="s">
        <v>681</v>
      </c>
      <c r="D475" s="1" t="str">
        <f>_xlfn.CONCAT(mmmm[[#This Row],[First Name]]," ",mmmm[[#This Row],[Last Name]])</f>
        <v>Ruba Alsiraj</v>
      </c>
      <c r="E475" s="19" t="s">
        <v>27</v>
      </c>
      <c r="F475" s="11">
        <v>43617</v>
      </c>
      <c r="G475" s="19">
        <v>7</v>
      </c>
      <c r="H475" s="19" t="s">
        <v>44</v>
      </c>
      <c r="I475" s="19" t="s">
        <v>20</v>
      </c>
      <c r="J475" s="1" t="s">
        <v>560</v>
      </c>
      <c r="K475" s="19">
        <v>2594</v>
      </c>
      <c r="L475" s="19">
        <v>31128</v>
      </c>
      <c r="M475" s="19">
        <v>3</v>
      </c>
      <c r="N475" s="19">
        <v>5</v>
      </c>
      <c r="O475" s="1">
        <v>0</v>
      </c>
      <c r="P475" s="19">
        <v>0</v>
      </c>
    </row>
    <row r="476" spans="1:16">
      <c r="A476" s="1">
        <v>475</v>
      </c>
      <c r="B476" s="1" t="s">
        <v>461</v>
      </c>
      <c r="C476" s="1" t="s">
        <v>682</v>
      </c>
      <c r="D476" s="1" t="str">
        <f>_xlfn.CONCAT(mmmm[[#This Row],[First Name]]," ",mmmm[[#This Row],[Last Name]])</f>
        <v>Adnan Allaadhiqanii</v>
      </c>
      <c r="E476" s="19" t="s">
        <v>18</v>
      </c>
      <c r="F476" s="11">
        <v>43237</v>
      </c>
      <c r="G476" s="19">
        <v>8</v>
      </c>
      <c r="H476" s="19" t="s">
        <v>19</v>
      </c>
      <c r="I476" s="19" t="s">
        <v>20</v>
      </c>
      <c r="J476" s="1" t="s">
        <v>39</v>
      </c>
      <c r="K476" s="19">
        <v>1082</v>
      </c>
      <c r="L476" s="19">
        <v>12984</v>
      </c>
      <c r="M476" s="19">
        <v>5</v>
      </c>
      <c r="N476" s="19">
        <v>1</v>
      </c>
      <c r="O476" s="1">
        <v>4</v>
      </c>
      <c r="P476" s="19">
        <v>8</v>
      </c>
    </row>
    <row r="477" spans="1:16">
      <c r="A477" s="1">
        <v>476</v>
      </c>
      <c r="B477" s="1" t="s">
        <v>36</v>
      </c>
      <c r="C477" s="1" t="s">
        <v>309</v>
      </c>
      <c r="D477" s="1" t="str">
        <f>_xlfn.CONCAT(mmmm[[#This Row],[First Name]]," ",mmmm[[#This Row],[Last Name]])</f>
        <v>Muhamad Shaeban</v>
      </c>
      <c r="E477" s="19" t="s">
        <v>18</v>
      </c>
      <c r="F477" s="11">
        <v>43413</v>
      </c>
      <c r="G477" s="19">
        <v>7</v>
      </c>
      <c r="H477" s="19" t="s">
        <v>31</v>
      </c>
      <c r="I477" s="19" t="s">
        <v>20</v>
      </c>
      <c r="J477" s="1" t="s">
        <v>21</v>
      </c>
      <c r="K477" s="19">
        <v>1929</v>
      </c>
      <c r="L477" s="19">
        <v>23148</v>
      </c>
      <c r="M477" s="19">
        <v>5</v>
      </c>
      <c r="N477" s="19">
        <v>3</v>
      </c>
      <c r="O477" s="1">
        <v>0</v>
      </c>
      <c r="P477" s="19">
        <v>43</v>
      </c>
    </row>
    <row r="478" spans="1:16">
      <c r="A478" s="1">
        <v>477</v>
      </c>
      <c r="B478" s="1" t="s">
        <v>683</v>
      </c>
      <c r="C478" s="1" t="s">
        <v>82</v>
      </c>
      <c r="D478" s="1" t="str">
        <f>_xlfn.CONCAT(mmmm[[#This Row],[First Name]]," ",mmmm[[#This Row],[Last Name]])</f>
        <v>Ghyath Abu</v>
      </c>
      <c r="E478" s="19" t="s">
        <v>18</v>
      </c>
      <c r="F478" s="11">
        <v>43720</v>
      </c>
      <c r="G478" s="19">
        <v>6</v>
      </c>
      <c r="H478" s="19" t="s">
        <v>31</v>
      </c>
      <c r="I478" s="19" t="s">
        <v>24</v>
      </c>
      <c r="J478" s="1" t="s">
        <v>33</v>
      </c>
      <c r="K478" s="19">
        <v>1883</v>
      </c>
      <c r="L478" s="19">
        <v>22596</v>
      </c>
      <c r="M478" s="19">
        <v>3</v>
      </c>
      <c r="N478" s="19">
        <v>3</v>
      </c>
      <c r="O478" s="1">
        <v>0</v>
      </c>
      <c r="P478" s="19">
        <v>3</v>
      </c>
    </row>
    <row r="479" spans="1:16">
      <c r="A479" s="1">
        <v>478</v>
      </c>
      <c r="B479" s="1" t="s">
        <v>389</v>
      </c>
      <c r="C479" s="1" t="s">
        <v>513</v>
      </c>
      <c r="D479" s="1" t="str">
        <f>_xlfn.CONCAT(mmmm[[#This Row],[First Name]]," ",mmmm[[#This Row],[Last Name]])</f>
        <v>Basil Farahat</v>
      </c>
      <c r="E479" s="19" t="s">
        <v>18</v>
      </c>
      <c r="F479" s="11">
        <v>43594</v>
      </c>
      <c r="G479" s="19">
        <v>7</v>
      </c>
      <c r="H479" s="19" t="s">
        <v>44</v>
      </c>
      <c r="I479" s="19" t="s">
        <v>32</v>
      </c>
      <c r="J479" s="1" t="s">
        <v>21</v>
      </c>
      <c r="K479" s="19">
        <v>874</v>
      </c>
      <c r="L479" s="19">
        <v>10488</v>
      </c>
      <c r="M479" s="19">
        <v>3</v>
      </c>
      <c r="N479" s="19">
        <v>0</v>
      </c>
      <c r="O479" s="1">
        <v>0</v>
      </c>
      <c r="P479" s="19">
        <v>7</v>
      </c>
    </row>
    <row r="480" spans="1:16">
      <c r="A480" s="1">
        <v>479</v>
      </c>
      <c r="B480" s="1" t="s">
        <v>167</v>
      </c>
      <c r="C480" s="1" t="s">
        <v>684</v>
      </c>
      <c r="D480" s="1" t="str">
        <f>_xlfn.CONCAT(mmmm[[#This Row],[First Name]]," ",mmmm[[#This Row],[Last Name]])</f>
        <v>Khalid Siriul</v>
      </c>
      <c r="E480" s="19" t="s">
        <v>18</v>
      </c>
      <c r="F480" s="11">
        <v>42603</v>
      </c>
      <c r="G480" s="19">
        <v>9</v>
      </c>
      <c r="H480" s="19" t="s">
        <v>19</v>
      </c>
      <c r="I480" s="19" t="s">
        <v>24</v>
      </c>
      <c r="J480" s="1" t="s">
        <v>21</v>
      </c>
      <c r="K480" s="19">
        <v>2780</v>
      </c>
      <c r="L480" s="19">
        <v>33360</v>
      </c>
      <c r="M480" s="19">
        <v>3</v>
      </c>
      <c r="N480" s="19">
        <v>3</v>
      </c>
      <c r="O480" s="1">
        <v>0</v>
      </c>
      <c r="P480" s="19">
        <v>2</v>
      </c>
    </row>
    <row r="481" spans="1:16">
      <c r="A481" s="1">
        <v>480</v>
      </c>
      <c r="B481" s="1" t="s">
        <v>209</v>
      </c>
      <c r="C481" s="1" t="s">
        <v>132</v>
      </c>
      <c r="D481" s="1" t="str">
        <f>_xlfn.CONCAT(mmmm[[#This Row],[First Name]]," ",mmmm[[#This Row],[Last Name]])</f>
        <v>Salah Aldiyn Salayk</v>
      </c>
      <c r="E481" s="19" t="s">
        <v>18</v>
      </c>
      <c r="F481" s="11">
        <v>43832</v>
      </c>
      <c r="G481" s="19">
        <v>6</v>
      </c>
      <c r="H481" s="19" t="s">
        <v>52</v>
      </c>
      <c r="I481" s="19" t="s">
        <v>50</v>
      </c>
      <c r="J481" s="1" t="s">
        <v>62</v>
      </c>
      <c r="K481" s="19">
        <v>1980</v>
      </c>
      <c r="L481" s="19">
        <v>23760</v>
      </c>
      <c r="M481" s="19">
        <v>2</v>
      </c>
      <c r="N481" s="19">
        <v>3</v>
      </c>
      <c r="O481" s="1">
        <v>0</v>
      </c>
      <c r="P481" s="19">
        <v>0</v>
      </c>
    </row>
    <row r="482" spans="1:16">
      <c r="A482" s="1">
        <v>481</v>
      </c>
      <c r="B482" s="1" t="s">
        <v>73</v>
      </c>
      <c r="C482" s="1" t="s">
        <v>685</v>
      </c>
      <c r="D482" s="1" t="str">
        <f>_xlfn.CONCAT(mmmm[[#This Row],[First Name]]," ",mmmm[[#This Row],[Last Name]])</f>
        <v>Bilal Einziin</v>
      </c>
      <c r="E482" s="19" t="s">
        <v>18</v>
      </c>
      <c r="F482" s="11">
        <v>43832</v>
      </c>
      <c r="G482" s="19">
        <v>6</v>
      </c>
      <c r="H482" s="19" t="s">
        <v>28</v>
      </c>
      <c r="I482" s="19" t="s">
        <v>50</v>
      </c>
      <c r="J482" s="1" t="s">
        <v>33</v>
      </c>
      <c r="K482" s="19">
        <v>2611</v>
      </c>
      <c r="L482" s="19">
        <v>31332</v>
      </c>
      <c r="M482" s="19">
        <v>5</v>
      </c>
      <c r="N482" s="19">
        <v>4</v>
      </c>
      <c r="O482" s="1">
        <v>0</v>
      </c>
      <c r="P482" s="19">
        <v>9</v>
      </c>
    </row>
    <row r="483" spans="1:16">
      <c r="A483" s="1">
        <v>482</v>
      </c>
      <c r="B483" s="1" t="s">
        <v>686</v>
      </c>
      <c r="C483" s="1" t="s">
        <v>687</v>
      </c>
      <c r="D483" s="1" t="str">
        <f>_xlfn.CONCAT(mmmm[[#This Row],[First Name]]," ",mmmm[[#This Row],[Last Name]])</f>
        <v>Abdalrhmin Aljuju</v>
      </c>
      <c r="E483" s="19" t="s">
        <v>18</v>
      </c>
      <c r="F483" s="11">
        <v>43141</v>
      </c>
      <c r="G483" s="19">
        <v>8</v>
      </c>
      <c r="H483" s="19" t="s">
        <v>202</v>
      </c>
      <c r="I483" s="19" t="s">
        <v>50</v>
      </c>
      <c r="J483" s="1" t="s">
        <v>560</v>
      </c>
      <c r="K483" s="19">
        <v>1881</v>
      </c>
      <c r="L483" s="19">
        <v>22572</v>
      </c>
      <c r="M483" s="19">
        <v>5</v>
      </c>
      <c r="N483" s="19">
        <v>1</v>
      </c>
      <c r="O483" s="1">
        <v>0</v>
      </c>
      <c r="P483" s="19">
        <v>1</v>
      </c>
    </row>
    <row r="484" spans="1:16">
      <c r="A484" s="1">
        <v>483</v>
      </c>
      <c r="B484" s="1" t="s">
        <v>688</v>
      </c>
      <c r="C484" s="1" t="s">
        <v>689</v>
      </c>
      <c r="D484" s="1" t="str">
        <f>_xlfn.CONCAT(mmmm[[#This Row],[First Name]]," ",mmmm[[#This Row],[Last Name]])</f>
        <v>Lawy Nadaf</v>
      </c>
      <c r="E484" s="19" t="s">
        <v>18</v>
      </c>
      <c r="F484" s="11">
        <v>42530</v>
      </c>
      <c r="G484" s="19">
        <v>10</v>
      </c>
      <c r="H484" s="19" t="s">
        <v>31</v>
      </c>
      <c r="I484" s="19" t="s">
        <v>20</v>
      </c>
      <c r="J484" s="1" t="s">
        <v>21</v>
      </c>
      <c r="K484" s="19">
        <v>1517</v>
      </c>
      <c r="L484" s="19">
        <v>18204</v>
      </c>
      <c r="M484" s="19">
        <v>5</v>
      </c>
      <c r="N484" s="19">
        <v>4</v>
      </c>
      <c r="O484" s="1">
        <v>0</v>
      </c>
      <c r="P484" s="19">
        <v>6</v>
      </c>
    </row>
    <row r="485" spans="1:16">
      <c r="A485" s="1">
        <v>484</v>
      </c>
      <c r="B485" s="1" t="s">
        <v>188</v>
      </c>
      <c r="C485" s="1" t="s">
        <v>36</v>
      </c>
      <c r="D485" s="1" t="str">
        <f>_xlfn.CONCAT(mmmm[[#This Row],[First Name]]," ",mmmm[[#This Row],[Last Name]])</f>
        <v>Ali Muhamad</v>
      </c>
      <c r="E485" s="19" t="s">
        <v>18</v>
      </c>
      <c r="F485" s="11">
        <v>43825</v>
      </c>
      <c r="G485" s="19">
        <v>6</v>
      </c>
      <c r="H485" s="19" t="s">
        <v>38</v>
      </c>
      <c r="I485" s="19" t="s">
        <v>20</v>
      </c>
      <c r="J485" s="1" t="s">
        <v>21</v>
      </c>
      <c r="K485" s="19">
        <v>1459</v>
      </c>
      <c r="L485" s="19">
        <v>17508</v>
      </c>
      <c r="M485" s="19">
        <v>4.5</v>
      </c>
      <c r="N485" s="19">
        <v>0</v>
      </c>
      <c r="O485" s="1">
        <v>0</v>
      </c>
      <c r="P485" s="19">
        <v>10</v>
      </c>
    </row>
    <row r="486" spans="1:16">
      <c r="A486" s="1">
        <v>485</v>
      </c>
      <c r="B486" s="1" t="s">
        <v>221</v>
      </c>
      <c r="C486" s="1" t="s">
        <v>690</v>
      </c>
      <c r="D486" s="1" t="str">
        <f>_xlfn.CONCAT(mmmm[[#This Row],[First Name]]," ",mmmm[[#This Row],[Last Name]])</f>
        <v>Mahir Bikar</v>
      </c>
      <c r="E486" s="19" t="s">
        <v>18</v>
      </c>
      <c r="F486" s="11">
        <v>43761</v>
      </c>
      <c r="G486" s="19">
        <v>6</v>
      </c>
      <c r="H486" s="19" t="s">
        <v>90</v>
      </c>
      <c r="I486" s="19" t="s">
        <v>24</v>
      </c>
      <c r="J486" s="1" t="s">
        <v>33</v>
      </c>
      <c r="K486" s="19">
        <v>2383</v>
      </c>
      <c r="L486" s="19">
        <v>28596</v>
      </c>
      <c r="M486" s="19">
        <v>3</v>
      </c>
      <c r="N486" s="19">
        <v>0</v>
      </c>
      <c r="O486" s="1">
        <v>0</v>
      </c>
      <c r="P486" s="19">
        <v>0</v>
      </c>
    </row>
    <row r="487" spans="1:16">
      <c r="A487" s="1">
        <v>486</v>
      </c>
      <c r="B487" s="1" t="s">
        <v>51</v>
      </c>
      <c r="C487" s="1" t="s">
        <v>462</v>
      </c>
      <c r="D487" s="1" t="str">
        <f>_xlfn.CONCAT(mmmm[[#This Row],[First Name]]," ",mmmm[[#This Row],[Last Name]])</f>
        <v>Iad Alhusayn</v>
      </c>
      <c r="E487" s="19" t="s">
        <v>18</v>
      </c>
      <c r="F487" s="11">
        <v>43168</v>
      </c>
      <c r="G487" s="19">
        <v>8</v>
      </c>
      <c r="H487" s="19" t="s">
        <v>79</v>
      </c>
      <c r="I487" s="19" t="s">
        <v>20</v>
      </c>
      <c r="J487" s="1" t="s">
        <v>62</v>
      </c>
      <c r="K487" s="19">
        <v>1420</v>
      </c>
      <c r="L487" s="19">
        <v>17040</v>
      </c>
      <c r="M487" s="19">
        <v>5</v>
      </c>
      <c r="N487" s="19">
        <v>2</v>
      </c>
      <c r="O487" s="1">
        <v>6</v>
      </c>
      <c r="P487" s="19">
        <v>7</v>
      </c>
    </row>
    <row r="488" spans="1:16">
      <c r="A488" s="1">
        <v>487</v>
      </c>
      <c r="B488" s="1" t="s">
        <v>358</v>
      </c>
      <c r="C488" s="1" t="s">
        <v>691</v>
      </c>
      <c r="D488" s="1" t="str">
        <f>_xlfn.CONCAT(mmmm[[#This Row],[First Name]]," ",mmmm[[#This Row],[Last Name]])</f>
        <v>Husam Ziada</v>
      </c>
      <c r="E488" s="19" t="s">
        <v>18</v>
      </c>
      <c r="F488" s="11">
        <v>43358</v>
      </c>
      <c r="G488" s="19">
        <v>7</v>
      </c>
      <c r="H488" s="19" t="s">
        <v>28</v>
      </c>
      <c r="I488" s="19" t="s">
        <v>20</v>
      </c>
      <c r="J488" s="1" t="s">
        <v>39</v>
      </c>
      <c r="K488" s="19">
        <v>1382</v>
      </c>
      <c r="L488" s="19">
        <v>16584</v>
      </c>
      <c r="M488" s="19">
        <v>4.5</v>
      </c>
      <c r="N488" s="19">
        <v>0</v>
      </c>
      <c r="O488" s="1">
        <v>1</v>
      </c>
      <c r="P488" s="19">
        <v>14</v>
      </c>
    </row>
    <row r="489" spans="1:16">
      <c r="A489" s="1">
        <v>488</v>
      </c>
      <c r="B489" s="1" t="s">
        <v>34</v>
      </c>
      <c r="C489" s="1" t="s">
        <v>692</v>
      </c>
      <c r="D489" s="1" t="str">
        <f>_xlfn.CONCAT(mmmm[[#This Row],[First Name]]," ",mmmm[[#This Row],[Last Name]])</f>
        <v>Ahmad Eashur</v>
      </c>
      <c r="E489" s="19" t="s">
        <v>18</v>
      </c>
      <c r="F489" s="11">
        <v>44097</v>
      </c>
      <c r="G489" s="19">
        <v>5</v>
      </c>
      <c r="H489" s="19" t="s">
        <v>52</v>
      </c>
      <c r="I489" s="19" t="s">
        <v>32</v>
      </c>
      <c r="J489" s="1" t="s">
        <v>21</v>
      </c>
      <c r="K489" s="19">
        <v>1920</v>
      </c>
      <c r="L489" s="19">
        <v>23040</v>
      </c>
      <c r="M489" s="19">
        <v>5</v>
      </c>
      <c r="N489" s="19">
        <v>0</v>
      </c>
      <c r="O489" s="1">
        <v>5</v>
      </c>
      <c r="P489" s="19">
        <v>1</v>
      </c>
    </row>
    <row r="490" spans="1:16">
      <c r="A490" s="1">
        <v>489</v>
      </c>
      <c r="B490" s="1" t="s">
        <v>34</v>
      </c>
      <c r="C490" s="1" t="s">
        <v>693</v>
      </c>
      <c r="D490" s="1" t="str">
        <f>_xlfn.CONCAT(mmmm[[#This Row],[First Name]]," ",mmmm[[#This Row],[Last Name]])</f>
        <v>Ahmad Naqawuh</v>
      </c>
      <c r="E490" s="19" t="s">
        <v>18</v>
      </c>
      <c r="F490" s="11">
        <v>44091</v>
      </c>
      <c r="G490" s="19">
        <v>5</v>
      </c>
      <c r="H490" s="19" t="s">
        <v>79</v>
      </c>
      <c r="I490" s="19" t="s">
        <v>20</v>
      </c>
      <c r="J490" s="1" t="s">
        <v>39</v>
      </c>
      <c r="K490" s="19">
        <v>1202</v>
      </c>
      <c r="L490" s="19">
        <v>14424</v>
      </c>
      <c r="M490" s="19">
        <v>4.5</v>
      </c>
      <c r="N490" s="19">
        <v>0</v>
      </c>
      <c r="O490" s="1">
        <v>0</v>
      </c>
      <c r="P490" s="19">
        <v>92</v>
      </c>
    </row>
    <row r="491" spans="1:16">
      <c r="A491" s="1">
        <v>490</v>
      </c>
      <c r="B491" s="1" t="s">
        <v>694</v>
      </c>
      <c r="C491" s="1" t="s">
        <v>695</v>
      </c>
      <c r="D491" s="1" t="str">
        <f>_xlfn.CONCAT(mmmm[[#This Row],[First Name]]," ",mmmm[[#This Row],[Last Name]])</f>
        <v>Tamadur Barghuth</v>
      </c>
      <c r="E491" s="19" t="s">
        <v>27</v>
      </c>
      <c r="F491" s="11">
        <v>43156</v>
      </c>
      <c r="G491" s="19">
        <v>8</v>
      </c>
      <c r="H491" s="19" t="s">
        <v>60</v>
      </c>
      <c r="I491" s="19" t="s">
        <v>24</v>
      </c>
      <c r="J491" s="1" t="s">
        <v>21</v>
      </c>
      <c r="K491" s="19">
        <v>1158</v>
      </c>
      <c r="L491" s="19">
        <v>13896</v>
      </c>
      <c r="M491" s="19">
        <v>5</v>
      </c>
      <c r="N491" s="19">
        <v>0</v>
      </c>
      <c r="O491" s="1">
        <v>0</v>
      </c>
      <c r="P491" s="19">
        <v>7</v>
      </c>
    </row>
    <row r="492" spans="1:16">
      <c r="A492" s="1">
        <v>491</v>
      </c>
      <c r="B492" s="1" t="s">
        <v>328</v>
      </c>
      <c r="C492" s="1" t="s">
        <v>696</v>
      </c>
      <c r="D492" s="1" t="str">
        <f>_xlfn.CONCAT(mmmm[[#This Row],[First Name]]," ",mmmm[[#This Row],[Last Name]])</f>
        <v>Diea Jazar</v>
      </c>
      <c r="E492" s="19" t="s">
        <v>18</v>
      </c>
      <c r="F492" s="11">
        <v>43850</v>
      </c>
      <c r="G492" s="19">
        <v>6</v>
      </c>
      <c r="H492" s="19" t="s">
        <v>19</v>
      </c>
      <c r="I492" s="19" t="s">
        <v>20</v>
      </c>
      <c r="J492" s="1" t="s">
        <v>39</v>
      </c>
      <c r="K492" s="19">
        <v>1447</v>
      </c>
      <c r="L492" s="19">
        <v>17364</v>
      </c>
      <c r="M492" s="19">
        <v>3</v>
      </c>
      <c r="N492" s="19">
        <v>0</v>
      </c>
      <c r="O492" s="1">
        <v>0</v>
      </c>
      <c r="P492" s="19">
        <v>7</v>
      </c>
    </row>
    <row r="493" spans="1:16">
      <c r="A493" s="1">
        <v>492</v>
      </c>
      <c r="B493" s="1" t="s">
        <v>225</v>
      </c>
      <c r="C493" s="1" t="s">
        <v>697</v>
      </c>
      <c r="D493" s="1" t="str">
        <f>_xlfn.CONCAT(mmmm[[#This Row],[First Name]]," ",mmmm[[#This Row],[Last Name]])</f>
        <v>Bashshar Mareiun</v>
      </c>
      <c r="E493" s="19" t="s">
        <v>18</v>
      </c>
      <c r="F493" s="11">
        <v>43731</v>
      </c>
      <c r="G493" s="19">
        <v>6</v>
      </c>
      <c r="H493" s="19" t="s">
        <v>42</v>
      </c>
      <c r="I493" s="19" t="s">
        <v>24</v>
      </c>
      <c r="J493" s="1" t="s">
        <v>560</v>
      </c>
      <c r="K493" s="19">
        <v>1598</v>
      </c>
      <c r="L493" s="19">
        <v>19176</v>
      </c>
      <c r="M493" s="19">
        <v>3</v>
      </c>
      <c r="N493" s="19">
        <v>0</v>
      </c>
      <c r="O493" s="1">
        <v>0</v>
      </c>
      <c r="P493" s="19">
        <v>95</v>
      </c>
    </row>
    <row r="494" spans="1:16">
      <c r="A494" s="1">
        <v>493</v>
      </c>
      <c r="B494" s="1" t="s">
        <v>698</v>
      </c>
      <c r="C494" s="1" t="s">
        <v>699</v>
      </c>
      <c r="D494" s="1" t="str">
        <f>_xlfn.CONCAT(mmmm[[#This Row],[First Name]]," ",mmmm[[#This Row],[Last Name]])</f>
        <v>Abdaleziz Eiwad</v>
      </c>
      <c r="E494" s="19" t="s">
        <v>18</v>
      </c>
      <c r="F494" s="11">
        <v>43974</v>
      </c>
      <c r="G494" s="19">
        <v>6</v>
      </c>
      <c r="H494" s="19" t="s">
        <v>79</v>
      </c>
      <c r="I494" s="19" t="s">
        <v>32</v>
      </c>
      <c r="J494" s="1" t="s">
        <v>560</v>
      </c>
      <c r="K494" s="19">
        <v>1714</v>
      </c>
      <c r="L494" s="19">
        <v>20568</v>
      </c>
      <c r="M494" s="19">
        <v>5</v>
      </c>
      <c r="N494" s="19">
        <v>6</v>
      </c>
      <c r="O494" s="1">
        <v>0</v>
      </c>
      <c r="P494" s="19">
        <v>11</v>
      </c>
    </row>
    <row r="495" spans="1:16">
      <c r="A495" s="1">
        <v>494</v>
      </c>
      <c r="B495" s="1" t="s">
        <v>304</v>
      </c>
      <c r="C495" s="1" t="s">
        <v>700</v>
      </c>
      <c r="D495" s="1" t="str">
        <f>_xlfn.CONCAT(mmmm[[#This Row],[First Name]]," ",mmmm[[#This Row],[Last Name]])</f>
        <v>Amir Alkhawam</v>
      </c>
      <c r="E495" s="19" t="s">
        <v>18</v>
      </c>
      <c r="F495" s="11">
        <v>43038</v>
      </c>
      <c r="G495" s="19">
        <v>8</v>
      </c>
      <c r="H495" s="19" t="s">
        <v>95</v>
      </c>
      <c r="I495" s="19" t="s">
        <v>32</v>
      </c>
      <c r="J495" s="1" t="s">
        <v>21</v>
      </c>
      <c r="K495" s="19">
        <v>2994</v>
      </c>
      <c r="L495" s="19">
        <v>35928</v>
      </c>
      <c r="M495" s="19">
        <v>4.5</v>
      </c>
      <c r="N495" s="19">
        <v>1</v>
      </c>
      <c r="O495" s="1">
        <v>0</v>
      </c>
      <c r="P495" s="19">
        <v>4</v>
      </c>
    </row>
    <row r="496" spans="1:16">
      <c r="A496" s="1">
        <v>495</v>
      </c>
      <c r="B496" s="1" t="s">
        <v>701</v>
      </c>
      <c r="C496" s="1" t="s">
        <v>702</v>
      </c>
      <c r="D496" s="1" t="str">
        <f>_xlfn.CONCAT(mmmm[[#This Row],[First Name]]," ",mmmm[[#This Row],[Last Name]])</f>
        <v>Alia Maseud</v>
      </c>
      <c r="E496" s="19" t="s">
        <v>18</v>
      </c>
      <c r="F496" s="11">
        <v>43838</v>
      </c>
      <c r="G496" s="19">
        <v>6</v>
      </c>
      <c r="H496" s="19" t="s">
        <v>31</v>
      </c>
      <c r="I496" s="19" t="s">
        <v>24</v>
      </c>
      <c r="J496" s="1" t="s">
        <v>560</v>
      </c>
      <c r="K496" s="19">
        <v>2125</v>
      </c>
      <c r="L496" s="19">
        <v>25500</v>
      </c>
      <c r="M496" s="19">
        <v>4.5</v>
      </c>
      <c r="N496" s="19">
        <v>6</v>
      </c>
      <c r="O496" s="1">
        <v>0</v>
      </c>
      <c r="P496" s="19">
        <v>6</v>
      </c>
    </row>
    <row r="497" spans="1:16">
      <c r="A497" s="1">
        <v>496</v>
      </c>
      <c r="B497" s="1" t="s">
        <v>649</v>
      </c>
      <c r="C497" s="1" t="s">
        <v>703</v>
      </c>
      <c r="D497" s="1" t="str">
        <f>_xlfn.CONCAT(mmmm[[#This Row],[First Name]]," ",mmmm[[#This Row],[Last Name]])</f>
        <v>Asra Abuhani</v>
      </c>
      <c r="E497" s="19" t="s">
        <v>27</v>
      </c>
      <c r="F497" s="11">
        <v>43493</v>
      </c>
      <c r="G497" s="19">
        <v>7</v>
      </c>
      <c r="H497" s="19" t="s">
        <v>79</v>
      </c>
      <c r="I497" s="19" t="s">
        <v>20</v>
      </c>
      <c r="J497" s="1" t="s">
        <v>33</v>
      </c>
      <c r="K497" s="19">
        <v>3059</v>
      </c>
      <c r="L497" s="19">
        <v>36708</v>
      </c>
      <c r="M497" s="19">
        <v>4.5</v>
      </c>
      <c r="N497" s="19">
        <v>5</v>
      </c>
      <c r="O497" s="1">
        <v>0</v>
      </c>
      <c r="P497" s="19">
        <v>9</v>
      </c>
    </row>
    <row r="498" spans="1:16">
      <c r="A498" s="1">
        <v>497</v>
      </c>
      <c r="B498" s="1" t="s">
        <v>34</v>
      </c>
      <c r="C498" s="1" t="s">
        <v>704</v>
      </c>
      <c r="D498" s="1" t="str">
        <f>_xlfn.CONCAT(mmmm[[#This Row],[First Name]]," ",mmmm[[#This Row],[Last Name]])</f>
        <v>Ahmad Alshamy</v>
      </c>
      <c r="E498" s="19" t="s">
        <v>18</v>
      </c>
      <c r="F498" s="11">
        <v>43482</v>
      </c>
      <c r="G498" s="19">
        <v>7</v>
      </c>
      <c r="H498" s="19" t="s">
        <v>44</v>
      </c>
      <c r="I498" s="19" t="s">
        <v>32</v>
      </c>
      <c r="J498" s="1" t="s">
        <v>33</v>
      </c>
      <c r="K498" s="19">
        <v>2077</v>
      </c>
      <c r="L498" s="19">
        <v>24924</v>
      </c>
      <c r="M498" s="19">
        <v>5</v>
      </c>
      <c r="N498" s="19">
        <v>6</v>
      </c>
      <c r="O498" s="1">
        <v>0</v>
      </c>
      <c r="P498" s="19">
        <v>4</v>
      </c>
    </row>
    <row r="499" spans="1:16">
      <c r="A499" s="1">
        <v>498</v>
      </c>
      <c r="B499" s="1" t="s">
        <v>705</v>
      </c>
      <c r="C499" s="1" t="s">
        <v>706</v>
      </c>
      <c r="D499" s="1" t="str">
        <f>_xlfn.CONCAT(mmmm[[#This Row],[First Name]]," ",mmmm[[#This Row],[Last Name]])</f>
        <v>Baha Eusqul</v>
      </c>
      <c r="E499" s="19" t="s">
        <v>18</v>
      </c>
      <c r="F499" s="11">
        <v>43351</v>
      </c>
      <c r="G499" s="19">
        <v>7</v>
      </c>
      <c r="H499" s="19" t="s">
        <v>31</v>
      </c>
      <c r="I499" s="19" t="s">
        <v>20</v>
      </c>
      <c r="J499" s="1" t="s">
        <v>21</v>
      </c>
      <c r="K499" s="19">
        <v>1962</v>
      </c>
      <c r="L499" s="19">
        <v>23544</v>
      </c>
      <c r="M499" s="19">
        <v>4.5</v>
      </c>
      <c r="N499" s="19">
        <v>6</v>
      </c>
      <c r="O499" s="1">
        <v>0</v>
      </c>
      <c r="P499" s="19">
        <v>10</v>
      </c>
    </row>
    <row r="500" spans="1:16">
      <c r="A500" s="1">
        <v>499</v>
      </c>
      <c r="B500" s="1" t="s">
        <v>36</v>
      </c>
      <c r="C500" s="1" t="s">
        <v>707</v>
      </c>
      <c r="D500" s="1" t="str">
        <f>_xlfn.CONCAT(mmmm[[#This Row],[First Name]]," ",mmmm[[#This Row],[Last Name]])</f>
        <v>Muhamad Hylmyh</v>
      </c>
      <c r="E500" s="19" t="s">
        <v>18</v>
      </c>
      <c r="F500" s="11">
        <v>43600</v>
      </c>
      <c r="G500" s="19">
        <v>7</v>
      </c>
      <c r="H500" s="19" t="s">
        <v>52</v>
      </c>
      <c r="I500" s="19" t="s">
        <v>20</v>
      </c>
      <c r="J500" s="1" t="s">
        <v>39</v>
      </c>
      <c r="K500" s="19">
        <v>1573</v>
      </c>
      <c r="L500" s="19">
        <v>18876</v>
      </c>
      <c r="M500" s="19">
        <v>3</v>
      </c>
      <c r="N500" s="19">
        <v>6</v>
      </c>
      <c r="O500" s="1">
        <v>0</v>
      </c>
      <c r="P500" s="19">
        <v>2</v>
      </c>
    </row>
    <row r="501" spans="1:16">
      <c r="A501" s="1">
        <v>500</v>
      </c>
      <c r="B501" s="1" t="s">
        <v>434</v>
      </c>
      <c r="C501" s="1" t="s">
        <v>708</v>
      </c>
      <c r="D501" s="1" t="str">
        <f>_xlfn.CONCAT(mmmm[[#This Row],[First Name]]," ",mmmm[[#This Row],[Last Name]])</f>
        <v>Khadijah Turkamani</v>
      </c>
      <c r="E501" s="19" t="s">
        <v>27</v>
      </c>
      <c r="F501" s="11">
        <v>43642</v>
      </c>
      <c r="G501" s="19">
        <v>7</v>
      </c>
      <c r="H501" s="19" t="s">
        <v>44</v>
      </c>
      <c r="I501" s="19" t="s">
        <v>24</v>
      </c>
      <c r="J501" s="1" t="s">
        <v>39</v>
      </c>
      <c r="K501" s="19">
        <v>882</v>
      </c>
      <c r="L501" s="19">
        <v>10584</v>
      </c>
      <c r="M501" s="19">
        <v>5</v>
      </c>
      <c r="N501" s="19">
        <v>0</v>
      </c>
      <c r="O501" s="1">
        <v>0</v>
      </c>
      <c r="P501" s="19">
        <v>8</v>
      </c>
    </row>
    <row r="502" spans="1:16">
      <c r="A502" s="1">
        <v>501</v>
      </c>
      <c r="B502" s="1" t="s">
        <v>649</v>
      </c>
      <c r="C502" s="1" t="s">
        <v>709</v>
      </c>
      <c r="D502" s="1" t="str">
        <f>_xlfn.CONCAT(mmmm[[#This Row],[First Name]]," ",mmmm[[#This Row],[Last Name]])</f>
        <v>Asra Jameah</v>
      </c>
      <c r="E502" s="19" t="s">
        <v>27</v>
      </c>
      <c r="F502" s="11">
        <v>43398</v>
      </c>
      <c r="G502" s="19">
        <v>7</v>
      </c>
      <c r="H502" s="19" t="s">
        <v>31</v>
      </c>
      <c r="I502" s="19" t="s">
        <v>20</v>
      </c>
      <c r="J502" s="1" t="s">
        <v>21</v>
      </c>
      <c r="K502" s="19">
        <v>1036</v>
      </c>
      <c r="L502" s="19">
        <v>12432</v>
      </c>
      <c r="M502" s="19">
        <v>5</v>
      </c>
      <c r="N502" s="19">
        <v>0</v>
      </c>
      <c r="O502" s="1">
        <v>6</v>
      </c>
      <c r="P502" s="19">
        <v>2</v>
      </c>
    </row>
    <row r="503" spans="1:16">
      <c r="A503" s="1">
        <v>502</v>
      </c>
      <c r="B503" s="1" t="s">
        <v>710</v>
      </c>
      <c r="C503" s="1" t="s">
        <v>711</v>
      </c>
      <c r="D503" s="1" t="str">
        <f>_xlfn.CONCAT(mmmm[[#This Row],[First Name]]," ",mmmm[[#This Row],[Last Name]])</f>
        <v>Akram Alhulwanii</v>
      </c>
      <c r="E503" s="19" t="s">
        <v>18</v>
      </c>
      <c r="F503" s="11">
        <v>42381</v>
      </c>
      <c r="G503" s="19">
        <v>10</v>
      </c>
      <c r="H503" s="19" t="s">
        <v>52</v>
      </c>
      <c r="I503" s="19" t="s">
        <v>20</v>
      </c>
      <c r="J503" s="1" t="s">
        <v>560</v>
      </c>
      <c r="K503" s="19">
        <v>2790</v>
      </c>
      <c r="L503" s="19">
        <v>33480</v>
      </c>
      <c r="M503" s="19">
        <v>1</v>
      </c>
      <c r="N503" s="19">
        <v>1</v>
      </c>
      <c r="O503" s="1">
        <v>0</v>
      </c>
      <c r="P503" s="19">
        <v>8</v>
      </c>
    </row>
    <row r="504" spans="1:16">
      <c r="A504" s="1">
        <v>503</v>
      </c>
      <c r="B504" s="1" t="s">
        <v>71</v>
      </c>
      <c r="C504" s="1" t="s">
        <v>144</v>
      </c>
      <c r="D504" s="1" t="str">
        <f>_xlfn.CONCAT(mmmm[[#This Row],[First Name]]," ",mmmm[[#This Row],[Last Name]])</f>
        <v>Samir Almisri</v>
      </c>
      <c r="E504" s="19" t="s">
        <v>18</v>
      </c>
      <c r="F504" s="11">
        <v>43693</v>
      </c>
      <c r="G504" s="19">
        <v>6</v>
      </c>
      <c r="H504" s="19" t="s">
        <v>31</v>
      </c>
      <c r="I504" s="19" t="s">
        <v>20</v>
      </c>
      <c r="J504" s="1" t="s">
        <v>33</v>
      </c>
      <c r="K504" s="19">
        <v>1951</v>
      </c>
      <c r="L504" s="19">
        <v>23412</v>
      </c>
      <c r="M504" s="19">
        <v>4.5</v>
      </c>
      <c r="N504" s="19">
        <v>1</v>
      </c>
      <c r="O504" s="1">
        <v>0</v>
      </c>
      <c r="P504" s="19">
        <v>8</v>
      </c>
    </row>
    <row r="505" spans="1:16">
      <c r="A505" s="1">
        <v>504</v>
      </c>
      <c r="B505" s="1" t="s">
        <v>34</v>
      </c>
      <c r="C505" s="1" t="s">
        <v>394</v>
      </c>
      <c r="D505" s="1" t="str">
        <f>_xlfn.CONCAT(mmmm[[#This Row],[First Name]]," ",mmmm[[#This Row],[Last Name]])</f>
        <v>Ahmad Iidris</v>
      </c>
      <c r="E505" s="19" t="s">
        <v>18</v>
      </c>
      <c r="F505" s="11">
        <v>43289</v>
      </c>
      <c r="G505" s="19">
        <v>8</v>
      </c>
      <c r="H505" s="19" t="s">
        <v>19</v>
      </c>
      <c r="I505" s="19" t="s">
        <v>20</v>
      </c>
      <c r="J505" s="1" t="s">
        <v>33</v>
      </c>
      <c r="K505" s="19">
        <v>2255</v>
      </c>
      <c r="L505" s="19">
        <v>27060</v>
      </c>
      <c r="M505" s="19">
        <v>5</v>
      </c>
      <c r="N505" s="19">
        <v>0</v>
      </c>
      <c r="O505" s="1">
        <v>4</v>
      </c>
      <c r="P505" s="19">
        <v>10</v>
      </c>
    </row>
    <row r="506" spans="1:16">
      <c r="A506" s="1">
        <v>505</v>
      </c>
      <c r="B506" s="1" t="s">
        <v>712</v>
      </c>
      <c r="C506" s="1" t="s">
        <v>713</v>
      </c>
      <c r="D506" s="1" t="str">
        <f>_xlfn.CONCAT(mmmm[[#This Row],[First Name]]," ",mmmm[[#This Row],[Last Name]])</f>
        <v>Khawla Dawi</v>
      </c>
      <c r="E506" s="19" t="s">
        <v>27</v>
      </c>
      <c r="F506" s="11">
        <v>42903</v>
      </c>
      <c r="G506" s="19">
        <v>9</v>
      </c>
      <c r="H506" s="19" t="s">
        <v>120</v>
      </c>
      <c r="I506" s="19" t="s">
        <v>20</v>
      </c>
      <c r="J506" s="1" t="s">
        <v>560</v>
      </c>
      <c r="K506" s="19">
        <v>3388</v>
      </c>
      <c r="L506" s="19">
        <v>40656</v>
      </c>
      <c r="M506" s="19">
        <v>3</v>
      </c>
      <c r="N506" s="19">
        <v>3</v>
      </c>
      <c r="O506" s="1">
        <v>0</v>
      </c>
      <c r="P506" s="19">
        <v>0</v>
      </c>
    </row>
    <row r="507" spans="1:16">
      <c r="A507" s="1">
        <v>506</v>
      </c>
      <c r="B507" s="1" t="s">
        <v>714</v>
      </c>
      <c r="C507" s="1" t="s">
        <v>715</v>
      </c>
      <c r="D507" s="1" t="str">
        <f>_xlfn.CONCAT(mmmm[[#This Row],[First Name]]," ",mmmm[[#This Row],[Last Name]])</f>
        <v>Rayid Zazana</v>
      </c>
      <c r="E507" s="19" t="s">
        <v>18</v>
      </c>
      <c r="F507" s="11">
        <v>44123</v>
      </c>
      <c r="G507" s="19">
        <v>5</v>
      </c>
      <c r="H507" s="19" t="s">
        <v>60</v>
      </c>
      <c r="I507" s="19" t="s">
        <v>20</v>
      </c>
      <c r="J507" s="1" t="s">
        <v>21</v>
      </c>
      <c r="K507" s="19">
        <v>707</v>
      </c>
      <c r="L507" s="19">
        <v>8484</v>
      </c>
      <c r="M507" s="19">
        <v>2</v>
      </c>
      <c r="N507" s="19">
        <v>1</v>
      </c>
      <c r="O507" s="1">
        <v>0</v>
      </c>
      <c r="P507" s="19">
        <v>9</v>
      </c>
    </row>
    <row r="508" spans="1:16">
      <c r="A508" s="1">
        <v>507</v>
      </c>
      <c r="B508" s="1" t="s">
        <v>194</v>
      </c>
      <c r="C508" s="1" t="s">
        <v>716</v>
      </c>
      <c r="D508" s="1" t="str">
        <f>_xlfn.CONCAT(mmmm[[#This Row],[First Name]]," ",mmmm[[#This Row],[Last Name]])</f>
        <v>Razan Iybw</v>
      </c>
      <c r="E508" s="19" t="s">
        <v>27</v>
      </c>
      <c r="F508" s="11">
        <v>43996</v>
      </c>
      <c r="G508" s="19">
        <v>6</v>
      </c>
      <c r="H508" s="19" t="s">
        <v>95</v>
      </c>
      <c r="I508" s="19" t="s">
        <v>20</v>
      </c>
      <c r="J508" s="1" t="s">
        <v>33</v>
      </c>
      <c r="K508" s="19">
        <v>1161</v>
      </c>
      <c r="L508" s="19">
        <v>13932</v>
      </c>
      <c r="M508" s="19">
        <v>5</v>
      </c>
      <c r="N508" s="19">
        <v>0</v>
      </c>
      <c r="O508" s="1">
        <v>0</v>
      </c>
      <c r="P508" s="19">
        <v>9</v>
      </c>
    </row>
    <row r="509" spans="1:16">
      <c r="A509" s="1">
        <v>508</v>
      </c>
      <c r="B509" s="1" t="s">
        <v>717</v>
      </c>
      <c r="C509" s="1" t="s">
        <v>718</v>
      </c>
      <c r="D509" s="1" t="str">
        <f>_xlfn.CONCAT(mmmm[[#This Row],[First Name]]," ",mmmm[[#This Row],[Last Name]])</f>
        <v>Jamil Ghabur</v>
      </c>
      <c r="E509" s="19" t="s">
        <v>18</v>
      </c>
      <c r="F509" s="11">
        <v>43572</v>
      </c>
      <c r="G509" s="19">
        <v>7</v>
      </c>
      <c r="H509" s="19" t="s">
        <v>19</v>
      </c>
      <c r="I509" s="19" t="s">
        <v>32</v>
      </c>
      <c r="J509" s="1" t="s">
        <v>33</v>
      </c>
      <c r="K509" s="19">
        <v>1165</v>
      </c>
      <c r="L509" s="19">
        <v>13980</v>
      </c>
      <c r="M509" s="19">
        <v>5</v>
      </c>
      <c r="N509" s="19">
        <v>0</v>
      </c>
      <c r="O509" s="1">
        <v>0</v>
      </c>
      <c r="P509" s="19">
        <v>9</v>
      </c>
    </row>
    <row r="510" spans="1:16">
      <c r="A510" s="1">
        <v>509</v>
      </c>
      <c r="B510" s="1" t="s">
        <v>61</v>
      </c>
      <c r="C510" s="1" t="s">
        <v>601</v>
      </c>
      <c r="D510" s="1" t="str">
        <f>_xlfn.CONCAT(mmmm[[#This Row],[First Name]]," ",mmmm[[#This Row],[Last Name]])</f>
        <v>Alaa Sultan</v>
      </c>
      <c r="E510" s="19" t="s">
        <v>27</v>
      </c>
      <c r="F510" s="11">
        <v>43542</v>
      </c>
      <c r="G510" s="19">
        <v>7</v>
      </c>
      <c r="H510" s="19" t="s">
        <v>52</v>
      </c>
      <c r="I510" s="19" t="s">
        <v>32</v>
      </c>
      <c r="J510" s="1" t="s">
        <v>33</v>
      </c>
      <c r="K510" s="19">
        <v>1351</v>
      </c>
      <c r="L510" s="19">
        <v>16212</v>
      </c>
      <c r="M510" s="19">
        <v>5</v>
      </c>
      <c r="N510" s="19">
        <v>0</v>
      </c>
      <c r="O510" s="1">
        <v>0</v>
      </c>
      <c r="P510" s="19">
        <v>7</v>
      </c>
    </row>
    <row r="511" spans="1:16">
      <c r="A511" s="1">
        <v>510</v>
      </c>
      <c r="B511" s="1" t="s">
        <v>601</v>
      </c>
      <c r="C511" s="1" t="s">
        <v>719</v>
      </c>
      <c r="D511" s="1" t="str">
        <f>_xlfn.CONCAT(mmmm[[#This Row],[First Name]]," ",mmmm[[#This Row],[Last Name]])</f>
        <v>Sultan Taysir</v>
      </c>
      <c r="E511" s="19" t="s">
        <v>18</v>
      </c>
      <c r="F511" s="11">
        <v>42649</v>
      </c>
      <c r="G511" s="19">
        <v>9</v>
      </c>
      <c r="H511" s="19" t="s">
        <v>38</v>
      </c>
      <c r="I511" s="19" t="s">
        <v>20</v>
      </c>
      <c r="J511" s="1" t="s">
        <v>560</v>
      </c>
      <c r="K511" s="19">
        <v>1406</v>
      </c>
      <c r="L511" s="19">
        <v>16872</v>
      </c>
      <c r="M511" s="19">
        <v>3</v>
      </c>
      <c r="N511" s="19">
        <v>0</v>
      </c>
      <c r="O511" s="1">
        <v>3</v>
      </c>
      <c r="P511" s="19">
        <v>7</v>
      </c>
    </row>
    <row r="512" spans="1:16">
      <c r="A512" s="1">
        <v>511</v>
      </c>
      <c r="B512" s="1" t="s">
        <v>720</v>
      </c>
      <c r="C512" s="1" t="s">
        <v>721</v>
      </c>
      <c r="D512" s="1" t="str">
        <f>_xlfn.CONCAT(mmmm[[#This Row],[First Name]]," ",mmmm[[#This Row],[Last Name]])</f>
        <v>Hanan Kurdiun</v>
      </c>
      <c r="E512" s="19" t="s">
        <v>27</v>
      </c>
      <c r="F512" s="11">
        <v>43473</v>
      </c>
      <c r="G512" s="19">
        <v>7</v>
      </c>
      <c r="H512" s="19" t="s">
        <v>44</v>
      </c>
      <c r="I512" s="19" t="s">
        <v>24</v>
      </c>
      <c r="J512" s="1" t="s">
        <v>33</v>
      </c>
      <c r="K512" s="19">
        <v>1699</v>
      </c>
      <c r="L512" s="19">
        <v>20388</v>
      </c>
      <c r="M512" s="19">
        <v>5</v>
      </c>
      <c r="N512" s="19">
        <v>0</v>
      </c>
      <c r="O512" s="1">
        <v>2</v>
      </c>
      <c r="P512" s="19">
        <v>5</v>
      </c>
    </row>
    <row r="513" spans="1:16">
      <c r="A513" s="1">
        <v>512</v>
      </c>
      <c r="B513" s="1" t="s">
        <v>389</v>
      </c>
      <c r="C513" s="1" t="s">
        <v>342</v>
      </c>
      <c r="D513" s="1" t="str">
        <f>_xlfn.CONCAT(mmmm[[#This Row],[First Name]]," ",mmmm[[#This Row],[Last Name]])</f>
        <v>Basil Salih</v>
      </c>
      <c r="E513" s="19" t="s">
        <v>18</v>
      </c>
      <c r="F513" s="11">
        <v>43043</v>
      </c>
      <c r="G513" s="19">
        <v>8</v>
      </c>
      <c r="H513" s="19" t="s">
        <v>55</v>
      </c>
      <c r="I513" s="19" t="s">
        <v>20</v>
      </c>
      <c r="J513" s="1" t="s">
        <v>39</v>
      </c>
      <c r="K513" s="19">
        <v>3007</v>
      </c>
      <c r="L513" s="19">
        <v>36084</v>
      </c>
      <c r="M513" s="19">
        <v>5</v>
      </c>
      <c r="N513" s="19">
        <v>0</v>
      </c>
      <c r="O513" s="1">
        <v>6</v>
      </c>
      <c r="P513" s="19">
        <v>11</v>
      </c>
    </row>
    <row r="514" spans="1:16">
      <c r="A514" s="1">
        <v>513</v>
      </c>
      <c r="B514" s="1" t="s">
        <v>722</v>
      </c>
      <c r="C514" s="1" t="s">
        <v>723</v>
      </c>
      <c r="D514" s="1" t="str">
        <f>_xlfn.CONCAT(mmmm[[#This Row],[First Name]]," ",mmmm[[#This Row],[Last Name]])</f>
        <v>Rita Dib</v>
      </c>
      <c r="E514" s="19" t="s">
        <v>27</v>
      </c>
      <c r="F514" s="11">
        <v>44008</v>
      </c>
      <c r="G514" s="19">
        <v>6</v>
      </c>
      <c r="H514" s="19" t="s">
        <v>38</v>
      </c>
      <c r="I514" s="19" t="s">
        <v>20</v>
      </c>
      <c r="J514" s="1" t="s">
        <v>33</v>
      </c>
      <c r="K514" s="19">
        <v>879</v>
      </c>
      <c r="L514" s="19">
        <v>10548</v>
      </c>
      <c r="M514" s="19">
        <v>3</v>
      </c>
      <c r="N514" s="19">
        <v>0</v>
      </c>
      <c r="O514" s="1">
        <v>0</v>
      </c>
      <c r="P514" s="19">
        <v>1</v>
      </c>
    </row>
    <row r="515" spans="1:16">
      <c r="A515" s="1">
        <v>514</v>
      </c>
      <c r="B515" s="1" t="s">
        <v>36</v>
      </c>
      <c r="C515" s="1" t="s">
        <v>724</v>
      </c>
      <c r="D515" s="1" t="str">
        <f>_xlfn.CONCAT(mmmm[[#This Row],[First Name]]," ",mmmm[[#This Row],[Last Name]])</f>
        <v>Muhamad Alghush</v>
      </c>
      <c r="E515" s="19" t="s">
        <v>18</v>
      </c>
      <c r="F515" s="11">
        <v>43586</v>
      </c>
      <c r="G515" s="19">
        <v>7</v>
      </c>
      <c r="H515" s="19" t="s">
        <v>79</v>
      </c>
      <c r="I515" s="19" t="s">
        <v>296</v>
      </c>
      <c r="J515" s="1" t="s">
        <v>39</v>
      </c>
      <c r="K515" s="19">
        <v>2537</v>
      </c>
      <c r="L515" s="19">
        <v>30444</v>
      </c>
      <c r="M515" s="19">
        <v>2</v>
      </c>
      <c r="N515" s="19">
        <v>0</v>
      </c>
      <c r="O515" s="1">
        <v>0</v>
      </c>
      <c r="P515" s="19">
        <v>3</v>
      </c>
    </row>
    <row r="516" spans="1:16">
      <c r="A516" s="1">
        <v>515</v>
      </c>
      <c r="B516" s="1" t="s">
        <v>36</v>
      </c>
      <c r="C516" s="1" t="s">
        <v>371</v>
      </c>
      <c r="D516" s="1" t="str">
        <f>_xlfn.CONCAT(mmmm[[#This Row],[First Name]]," ",mmmm[[#This Row],[Last Name]])</f>
        <v>Muhamad Iismaeil</v>
      </c>
      <c r="E516" s="19" t="s">
        <v>18</v>
      </c>
      <c r="F516" s="11">
        <v>44150</v>
      </c>
      <c r="G516" s="19">
        <v>5</v>
      </c>
      <c r="H516" s="19" t="s">
        <v>44</v>
      </c>
      <c r="I516" s="19" t="s">
        <v>20</v>
      </c>
      <c r="J516" s="1" t="s">
        <v>39</v>
      </c>
      <c r="K516" s="19">
        <v>2663</v>
      </c>
      <c r="L516" s="19">
        <v>31956</v>
      </c>
      <c r="M516" s="19">
        <v>3</v>
      </c>
      <c r="N516" s="19">
        <v>0</v>
      </c>
      <c r="O516" s="1">
        <v>0</v>
      </c>
      <c r="P516" s="19">
        <v>2</v>
      </c>
    </row>
    <row r="517" spans="1:16">
      <c r="A517" s="1">
        <v>516</v>
      </c>
      <c r="B517" s="1" t="s">
        <v>399</v>
      </c>
      <c r="C517" s="1" t="s">
        <v>314</v>
      </c>
      <c r="D517" s="1" t="str">
        <f>_xlfn.CONCAT(mmmm[[#This Row],[First Name]]," ",mmmm[[#This Row],[Last Name]])</f>
        <v>Khaldun Alsaedi</v>
      </c>
      <c r="E517" s="19" t="s">
        <v>18</v>
      </c>
      <c r="F517" s="11">
        <v>44119</v>
      </c>
      <c r="G517" s="19">
        <v>5</v>
      </c>
      <c r="H517" s="19" t="s">
        <v>19</v>
      </c>
      <c r="I517" s="19" t="s">
        <v>20</v>
      </c>
      <c r="J517" s="1" t="s">
        <v>33</v>
      </c>
      <c r="K517" s="19">
        <v>2494</v>
      </c>
      <c r="L517" s="19">
        <v>29928</v>
      </c>
      <c r="M517" s="19">
        <v>4.5</v>
      </c>
      <c r="N517" s="19">
        <v>2</v>
      </c>
      <c r="O517" s="1">
        <v>0</v>
      </c>
      <c r="P517" s="19">
        <v>2</v>
      </c>
    </row>
    <row r="518" spans="1:16">
      <c r="A518" s="1">
        <v>517</v>
      </c>
      <c r="B518" s="1" t="s">
        <v>725</v>
      </c>
      <c r="C518" s="1" t="s">
        <v>726</v>
      </c>
      <c r="D518" s="1" t="str">
        <f>_xlfn.CONCAT(mmmm[[#This Row],[First Name]]," ",mmmm[[#This Row],[Last Name]])</f>
        <v>Ghaliah Eibad</v>
      </c>
      <c r="E518" s="19" t="s">
        <v>27</v>
      </c>
      <c r="F518" s="11">
        <v>43775</v>
      </c>
      <c r="G518" s="19">
        <v>6</v>
      </c>
      <c r="H518" s="19" t="s">
        <v>165</v>
      </c>
      <c r="I518" s="19" t="s">
        <v>32</v>
      </c>
      <c r="J518" s="1" t="s">
        <v>39</v>
      </c>
      <c r="K518" s="19">
        <v>2585</v>
      </c>
      <c r="L518" s="19">
        <v>31020</v>
      </c>
      <c r="M518" s="19">
        <v>5</v>
      </c>
      <c r="N518" s="19">
        <v>1</v>
      </c>
      <c r="O518" s="1">
        <v>5</v>
      </c>
      <c r="P518" s="19">
        <v>7</v>
      </c>
    </row>
    <row r="519" spans="1:16">
      <c r="A519" s="1">
        <v>518</v>
      </c>
      <c r="B519" s="1" t="s">
        <v>36</v>
      </c>
      <c r="C519" s="1" t="s">
        <v>314</v>
      </c>
      <c r="D519" s="1" t="str">
        <f>_xlfn.CONCAT(mmmm[[#This Row],[First Name]]," ",mmmm[[#This Row],[Last Name]])</f>
        <v>Muhamad Alsaedi</v>
      </c>
      <c r="E519" s="19" t="s">
        <v>18</v>
      </c>
      <c r="F519" s="11">
        <v>43809</v>
      </c>
      <c r="G519" s="19">
        <v>6</v>
      </c>
      <c r="H519" s="19" t="s">
        <v>47</v>
      </c>
      <c r="I519" s="19" t="s">
        <v>32</v>
      </c>
      <c r="J519" s="1" t="s">
        <v>33</v>
      </c>
      <c r="K519" s="19">
        <v>1776</v>
      </c>
      <c r="L519" s="19">
        <v>21312</v>
      </c>
      <c r="M519" s="19">
        <v>2</v>
      </c>
      <c r="N519" s="19">
        <v>0</v>
      </c>
      <c r="O519" s="1">
        <v>0</v>
      </c>
      <c r="P519" s="19">
        <v>0</v>
      </c>
    </row>
    <row r="520" spans="1:16">
      <c r="A520" s="1">
        <v>519</v>
      </c>
      <c r="B520" s="1" t="s">
        <v>91</v>
      </c>
      <c r="C520" s="1" t="s">
        <v>727</v>
      </c>
      <c r="D520" s="1" t="str">
        <f>_xlfn.CONCAT(mmmm[[#This Row],[First Name]]," ",mmmm[[#This Row],[Last Name]])</f>
        <v>Eala Zaniqa</v>
      </c>
      <c r="E520" s="19" t="s">
        <v>27</v>
      </c>
      <c r="F520" s="11">
        <v>42993</v>
      </c>
      <c r="G520" s="19">
        <v>8</v>
      </c>
      <c r="H520" s="19" t="s">
        <v>55</v>
      </c>
      <c r="I520" s="19" t="s">
        <v>20</v>
      </c>
      <c r="J520" s="1" t="s">
        <v>39</v>
      </c>
      <c r="K520" s="19">
        <v>3055</v>
      </c>
      <c r="L520" s="19">
        <v>36660</v>
      </c>
      <c r="M520" s="19">
        <v>3</v>
      </c>
      <c r="N520" s="19">
        <v>0</v>
      </c>
      <c r="O520" s="1">
        <v>4</v>
      </c>
      <c r="P520" s="19">
        <v>9</v>
      </c>
    </row>
    <row r="521" spans="1:16">
      <c r="A521" s="1">
        <v>520</v>
      </c>
      <c r="B521" s="1" t="s">
        <v>69</v>
      </c>
      <c r="C521" s="1" t="s">
        <v>728</v>
      </c>
      <c r="D521" s="1" t="str">
        <f>_xlfn.CONCAT(mmmm[[#This Row],[First Name]]," ",mmmm[[#This Row],[Last Name]])</f>
        <v>Ayham Sharfah</v>
      </c>
      <c r="E521" s="19" t="s">
        <v>18</v>
      </c>
      <c r="F521" s="11">
        <v>43113</v>
      </c>
      <c r="G521" s="19">
        <v>8</v>
      </c>
      <c r="H521" s="19" t="s">
        <v>31</v>
      </c>
      <c r="I521" s="19" t="s">
        <v>24</v>
      </c>
      <c r="J521" s="1" t="s">
        <v>33</v>
      </c>
      <c r="K521" s="19">
        <v>1707</v>
      </c>
      <c r="L521" s="19">
        <v>20484</v>
      </c>
      <c r="M521" s="19">
        <v>3</v>
      </c>
      <c r="N521" s="19">
        <v>0</v>
      </c>
      <c r="O521" s="1">
        <v>0</v>
      </c>
      <c r="P521" s="19">
        <v>4</v>
      </c>
    </row>
    <row r="522" spans="1:16">
      <c r="A522" s="1">
        <v>521</v>
      </c>
      <c r="B522" s="1" t="s">
        <v>34</v>
      </c>
      <c r="C522" s="1" t="s">
        <v>729</v>
      </c>
      <c r="D522" s="1" t="str">
        <f>_xlfn.CONCAT(mmmm[[#This Row],[First Name]]," ",mmmm[[#This Row],[Last Name]])</f>
        <v>Ahmad Kazeur</v>
      </c>
      <c r="E522" s="19" t="s">
        <v>18</v>
      </c>
      <c r="F522" s="11">
        <v>43643</v>
      </c>
      <c r="G522" s="19">
        <v>7</v>
      </c>
      <c r="H522" s="19" t="s">
        <v>55</v>
      </c>
      <c r="I522" s="19" t="s">
        <v>32</v>
      </c>
      <c r="J522" s="1" t="s">
        <v>33</v>
      </c>
      <c r="K522" s="19">
        <v>2719</v>
      </c>
      <c r="L522" s="19">
        <v>32628</v>
      </c>
      <c r="M522" s="19">
        <v>3</v>
      </c>
      <c r="N522" s="19">
        <v>0</v>
      </c>
      <c r="O522" s="1">
        <v>0</v>
      </c>
      <c r="P522" s="19">
        <v>7</v>
      </c>
    </row>
    <row r="523" spans="1:16">
      <c r="A523" s="1">
        <v>522</v>
      </c>
      <c r="B523" s="1" t="s">
        <v>730</v>
      </c>
      <c r="C523" s="1" t="s">
        <v>185</v>
      </c>
      <c r="D523" s="1" t="str">
        <f>_xlfn.CONCAT(mmmm[[#This Row],[First Name]]," ",mmmm[[#This Row],[Last Name]])</f>
        <v>Mujdi Kiwan</v>
      </c>
      <c r="E523" s="19" t="s">
        <v>18</v>
      </c>
      <c r="F523" s="11">
        <v>44182</v>
      </c>
      <c r="G523" s="19">
        <v>5</v>
      </c>
      <c r="H523" s="19" t="s">
        <v>60</v>
      </c>
      <c r="I523" s="19" t="s">
        <v>20</v>
      </c>
      <c r="J523" s="1" t="s">
        <v>62</v>
      </c>
      <c r="K523" s="19">
        <v>1715</v>
      </c>
      <c r="L523" s="19">
        <v>20580</v>
      </c>
      <c r="M523" s="19">
        <v>3</v>
      </c>
      <c r="N523" s="19">
        <v>0</v>
      </c>
      <c r="O523" s="1">
        <v>0</v>
      </c>
      <c r="P523" s="19">
        <v>10</v>
      </c>
    </row>
    <row r="524" spans="1:16">
      <c r="A524" s="1">
        <v>523</v>
      </c>
      <c r="B524" s="1" t="s">
        <v>36</v>
      </c>
      <c r="C524" s="1" t="s">
        <v>731</v>
      </c>
      <c r="D524" s="1" t="str">
        <f>_xlfn.CONCAT(mmmm[[#This Row],[First Name]]," ",mmmm[[#This Row],[Last Name]])</f>
        <v>Muhamad Altynawi</v>
      </c>
      <c r="E524" s="19" t="s">
        <v>18</v>
      </c>
      <c r="F524" s="11">
        <v>43487</v>
      </c>
      <c r="G524" s="19">
        <v>7</v>
      </c>
      <c r="H524" s="19" t="s">
        <v>31</v>
      </c>
      <c r="I524" s="19" t="s">
        <v>20</v>
      </c>
      <c r="J524" s="1" t="s">
        <v>21</v>
      </c>
      <c r="K524" s="19">
        <v>2181</v>
      </c>
      <c r="L524" s="19">
        <v>26172</v>
      </c>
      <c r="M524" s="19">
        <v>2</v>
      </c>
      <c r="N524" s="19">
        <v>0</v>
      </c>
      <c r="O524" s="1">
        <v>0</v>
      </c>
      <c r="P524" s="19">
        <v>1</v>
      </c>
    </row>
    <row r="525" spans="1:16">
      <c r="A525" s="1">
        <v>524</v>
      </c>
      <c r="B525" s="1" t="s">
        <v>376</v>
      </c>
      <c r="C525" s="1" t="s">
        <v>577</v>
      </c>
      <c r="D525" s="1" t="str">
        <f>_xlfn.CONCAT(mmmm[[#This Row],[First Name]]," ",mmmm[[#This Row],[Last Name]])</f>
        <v>Lama Alhasan</v>
      </c>
      <c r="E525" s="19" t="s">
        <v>27</v>
      </c>
      <c r="F525" s="11">
        <v>43086</v>
      </c>
      <c r="G525" s="19">
        <v>8</v>
      </c>
      <c r="H525" s="19" t="s">
        <v>31</v>
      </c>
      <c r="I525" s="19" t="s">
        <v>32</v>
      </c>
      <c r="J525" s="1" t="s">
        <v>39</v>
      </c>
      <c r="K525" s="19">
        <v>1382</v>
      </c>
      <c r="L525" s="19">
        <v>16584</v>
      </c>
      <c r="M525" s="19">
        <v>5</v>
      </c>
      <c r="N525" s="19">
        <v>0</v>
      </c>
      <c r="O525" s="1">
        <v>4</v>
      </c>
      <c r="P525" s="19">
        <v>8</v>
      </c>
    </row>
    <row r="526" spans="1:16">
      <c r="A526" s="1">
        <v>525</v>
      </c>
      <c r="B526" s="1" t="s">
        <v>376</v>
      </c>
      <c r="C526" s="1" t="s">
        <v>144</v>
      </c>
      <c r="D526" s="1" t="str">
        <f>_xlfn.CONCAT(mmmm[[#This Row],[First Name]]," ",mmmm[[#This Row],[Last Name]])</f>
        <v>Lama Almisri</v>
      </c>
      <c r="E526" s="19" t="s">
        <v>27</v>
      </c>
      <c r="F526" s="11">
        <v>43957</v>
      </c>
      <c r="G526" s="19">
        <v>6</v>
      </c>
      <c r="H526" s="19" t="s">
        <v>31</v>
      </c>
      <c r="I526" s="19" t="s">
        <v>20</v>
      </c>
      <c r="J526" s="1" t="s">
        <v>39</v>
      </c>
      <c r="K526" s="19">
        <v>3350</v>
      </c>
      <c r="L526" s="19">
        <v>40200</v>
      </c>
      <c r="M526" s="19">
        <v>2</v>
      </c>
      <c r="N526" s="19">
        <v>0</v>
      </c>
      <c r="O526" s="1">
        <v>0</v>
      </c>
      <c r="P526" s="19">
        <v>8</v>
      </c>
    </row>
    <row r="527" spans="1:16">
      <c r="A527" s="1">
        <v>526</v>
      </c>
      <c r="B527" s="1" t="s">
        <v>732</v>
      </c>
      <c r="C527" s="1" t="s">
        <v>733</v>
      </c>
      <c r="D527" s="1" t="str">
        <f>_xlfn.CONCAT(mmmm[[#This Row],[First Name]]," ",mmmm[[#This Row],[Last Name]])</f>
        <v>Thayir Hamuwda</v>
      </c>
      <c r="E527" s="19" t="s">
        <v>18</v>
      </c>
      <c r="F527" s="11">
        <v>43960</v>
      </c>
      <c r="G527" s="19">
        <v>6</v>
      </c>
      <c r="H527" s="19" t="s">
        <v>55</v>
      </c>
      <c r="I527" s="19" t="s">
        <v>32</v>
      </c>
      <c r="J527" s="1" t="s">
        <v>560</v>
      </c>
      <c r="K527" s="19">
        <v>1710</v>
      </c>
      <c r="L527" s="19">
        <v>20520</v>
      </c>
      <c r="M527" s="19">
        <v>5</v>
      </c>
      <c r="N527" s="19">
        <v>0</v>
      </c>
      <c r="O527" s="1">
        <v>0</v>
      </c>
      <c r="P527" s="19">
        <v>9</v>
      </c>
    </row>
    <row r="528" spans="1:16">
      <c r="A528" s="1">
        <v>527</v>
      </c>
      <c r="B528" s="1" t="s">
        <v>734</v>
      </c>
      <c r="C528" s="1" t="s">
        <v>735</v>
      </c>
      <c r="D528" s="1" t="str">
        <f>_xlfn.CONCAT(mmmm[[#This Row],[First Name]]," ",mmmm[[#This Row],[Last Name]])</f>
        <v>Abdallah Zakariaa</v>
      </c>
      <c r="E528" s="19" t="s">
        <v>18</v>
      </c>
      <c r="F528" s="11">
        <v>43593</v>
      </c>
      <c r="G528" s="19">
        <v>7</v>
      </c>
      <c r="H528" s="19" t="s">
        <v>31</v>
      </c>
      <c r="I528" s="19" t="s">
        <v>32</v>
      </c>
      <c r="J528" s="1" t="s">
        <v>33</v>
      </c>
      <c r="K528" s="19">
        <v>2785</v>
      </c>
      <c r="L528" s="19">
        <v>33420</v>
      </c>
      <c r="M528" s="19">
        <v>1</v>
      </c>
      <c r="N528" s="19">
        <v>0</v>
      </c>
      <c r="O528" s="1">
        <v>4</v>
      </c>
      <c r="P528" s="19">
        <v>3</v>
      </c>
    </row>
    <row r="529" spans="1:16">
      <c r="A529" s="1">
        <v>528</v>
      </c>
      <c r="B529" s="1" t="s">
        <v>736</v>
      </c>
      <c r="C529" s="1" t="s">
        <v>577</v>
      </c>
      <c r="D529" s="1" t="str">
        <f>_xlfn.CONCAT(mmmm[[#This Row],[First Name]]," ",mmmm[[#This Row],[Last Name]])</f>
        <v>Ikhlas Alhasan</v>
      </c>
      <c r="E529" s="19" t="s">
        <v>27</v>
      </c>
      <c r="F529" s="11">
        <v>43784</v>
      </c>
      <c r="G529" s="19">
        <v>6</v>
      </c>
      <c r="H529" s="19" t="s">
        <v>202</v>
      </c>
      <c r="I529" s="19" t="s">
        <v>32</v>
      </c>
      <c r="J529" s="1" t="s">
        <v>33</v>
      </c>
      <c r="K529" s="19">
        <v>2425</v>
      </c>
      <c r="L529" s="19">
        <v>29100</v>
      </c>
      <c r="M529" s="19">
        <v>4.5</v>
      </c>
      <c r="N529" s="19">
        <v>0</v>
      </c>
      <c r="O529" s="1">
        <v>0</v>
      </c>
      <c r="P529" s="19">
        <v>10</v>
      </c>
    </row>
    <row r="530" spans="1:16">
      <c r="A530" s="1">
        <v>529</v>
      </c>
      <c r="B530" s="1" t="s">
        <v>36</v>
      </c>
      <c r="C530" s="1" t="s">
        <v>737</v>
      </c>
      <c r="D530" s="1" t="str">
        <f>_xlfn.CONCAT(mmmm[[#This Row],[First Name]]," ",mmmm[[#This Row],[Last Name]])</f>
        <v>Muhamad Jzayrly</v>
      </c>
      <c r="E530" s="19" t="s">
        <v>18</v>
      </c>
      <c r="F530" s="11">
        <v>43309</v>
      </c>
      <c r="G530" s="19">
        <v>8</v>
      </c>
      <c r="H530" s="19" t="s">
        <v>60</v>
      </c>
      <c r="I530" s="19" t="s">
        <v>20</v>
      </c>
      <c r="J530" s="1" t="s">
        <v>62</v>
      </c>
      <c r="K530" s="19">
        <v>1117</v>
      </c>
      <c r="L530" s="19">
        <v>13404</v>
      </c>
      <c r="M530" s="19">
        <v>3</v>
      </c>
      <c r="N530" s="19">
        <v>3</v>
      </c>
      <c r="O530" s="1">
        <v>0</v>
      </c>
      <c r="P530" s="19">
        <v>8</v>
      </c>
    </row>
    <row r="531" spans="1:16">
      <c r="A531" s="1">
        <v>530</v>
      </c>
      <c r="B531" s="1" t="s">
        <v>358</v>
      </c>
      <c r="C531" s="1" t="s">
        <v>738</v>
      </c>
      <c r="D531" s="1" t="str">
        <f>_xlfn.CONCAT(mmmm[[#This Row],[First Name]]," ",mmmm[[#This Row],[Last Name]])</f>
        <v>Husam Badr</v>
      </c>
      <c r="E531" s="19" t="s">
        <v>18</v>
      </c>
      <c r="F531" s="11">
        <v>43582</v>
      </c>
      <c r="G531" s="19">
        <v>7</v>
      </c>
      <c r="H531" s="19" t="s">
        <v>44</v>
      </c>
      <c r="I531" s="19" t="s">
        <v>20</v>
      </c>
      <c r="J531" s="1" t="s">
        <v>33</v>
      </c>
      <c r="K531" s="19">
        <v>1112</v>
      </c>
      <c r="L531" s="19">
        <v>13344</v>
      </c>
      <c r="M531" s="19">
        <v>5</v>
      </c>
      <c r="N531" s="19">
        <v>1</v>
      </c>
      <c r="O531" s="1">
        <v>6</v>
      </c>
      <c r="P531" s="19">
        <v>40</v>
      </c>
    </row>
    <row r="532" spans="1:16">
      <c r="A532" s="1">
        <v>531</v>
      </c>
      <c r="B532" s="1" t="s">
        <v>88</v>
      </c>
      <c r="C532" s="1" t="s">
        <v>739</v>
      </c>
      <c r="D532" s="1" t="str">
        <f>_xlfn.CONCAT(mmmm[[#This Row],[First Name]]," ",mmmm[[#This Row],[Last Name]])</f>
        <v>Rami Hunun</v>
      </c>
      <c r="E532" s="19" t="s">
        <v>18</v>
      </c>
      <c r="F532" s="11">
        <v>43944</v>
      </c>
      <c r="G532" s="19">
        <v>6</v>
      </c>
      <c r="H532" s="19" t="s">
        <v>60</v>
      </c>
      <c r="I532" s="19" t="s">
        <v>20</v>
      </c>
      <c r="J532" s="1" t="s">
        <v>21</v>
      </c>
      <c r="K532" s="19">
        <v>1928</v>
      </c>
      <c r="L532" s="19">
        <v>23136</v>
      </c>
      <c r="M532" s="19">
        <v>4.5</v>
      </c>
      <c r="N532" s="19">
        <v>6</v>
      </c>
      <c r="O532" s="1">
        <v>0</v>
      </c>
      <c r="P532" s="19">
        <v>1</v>
      </c>
    </row>
    <row r="533" spans="1:16">
      <c r="A533" s="1">
        <v>532</v>
      </c>
      <c r="B533" s="1" t="s">
        <v>701</v>
      </c>
      <c r="C533" s="1" t="s">
        <v>82</v>
      </c>
      <c r="D533" s="1" t="str">
        <f>_xlfn.CONCAT(mmmm[[#This Row],[First Name]]," ",mmmm[[#This Row],[Last Name]])</f>
        <v>Alia Abu</v>
      </c>
      <c r="E533" s="19" t="s">
        <v>27</v>
      </c>
      <c r="F533" s="11">
        <v>43410</v>
      </c>
      <c r="G533" s="19">
        <v>7</v>
      </c>
      <c r="H533" s="19" t="s">
        <v>55</v>
      </c>
      <c r="I533" s="19" t="s">
        <v>24</v>
      </c>
      <c r="J533" s="1" t="s">
        <v>21</v>
      </c>
      <c r="K533" s="19">
        <v>3300</v>
      </c>
      <c r="L533" s="19">
        <v>39600</v>
      </c>
      <c r="M533" s="19">
        <v>5</v>
      </c>
      <c r="N533" s="19">
        <v>0</v>
      </c>
      <c r="O533" s="1">
        <v>0</v>
      </c>
      <c r="P533" s="19">
        <v>4</v>
      </c>
    </row>
    <row r="534" spans="1:16">
      <c r="A534" s="1">
        <v>533</v>
      </c>
      <c r="B534" s="1" t="s">
        <v>71</v>
      </c>
      <c r="C534" s="1" t="s">
        <v>740</v>
      </c>
      <c r="D534" s="1" t="str">
        <f>_xlfn.CONCAT(mmmm[[#This Row],[First Name]]," ",mmmm[[#This Row],[Last Name]])</f>
        <v>Samir Sariji</v>
      </c>
      <c r="E534" s="19" t="s">
        <v>18</v>
      </c>
      <c r="F534" s="11">
        <v>44027</v>
      </c>
      <c r="G534" s="19">
        <v>6</v>
      </c>
      <c r="H534" s="19" t="s">
        <v>60</v>
      </c>
      <c r="I534" s="19" t="s">
        <v>20</v>
      </c>
      <c r="J534" s="1" t="s">
        <v>39</v>
      </c>
      <c r="K534" s="19">
        <v>2378</v>
      </c>
      <c r="L534" s="19">
        <v>28536</v>
      </c>
      <c r="M534" s="19">
        <v>5</v>
      </c>
      <c r="N534" s="19">
        <v>0</v>
      </c>
      <c r="O534" s="1">
        <v>0</v>
      </c>
      <c r="P534" s="19">
        <v>5</v>
      </c>
    </row>
    <row r="535" spans="1:16">
      <c r="A535" s="1">
        <v>534</v>
      </c>
      <c r="B535" s="1" t="s">
        <v>36</v>
      </c>
      <c r="C535" s="1" t="s">
        <v>741</v>
      </c>
      <c r="D535" s="1" t="str">
        <f>_xlfn.CONCAT(mmmm[[#This Row],[First Name]]," ",mmmm[[#This Row],[Last Name]])</f>
        <v>Muhamad Albieli</v>
      </c>
      <c r="E535" s="19" t="s">
        <v>18</v>
      </c>
      <c r="F535" s="11">
        <v>42547</v>
      </c>
      <c r="G535" s="19">
        <v>10</v>
      </c>
      <c r="H535" s="19" t="s">
        <v>19</v>
      </c>
      <c r="I535" s="19" t="s">
        <v>32</v>
      </c>
      <c r="J535" s="1" t="s">
        <v>33</v>
      </c>
      <c r="K535" s="19">
        <v>3138</v>
      </c>
      <c r="L535" s="19">
        <v>37656</v>
      </c>
      <c r="M535" s="19">
        <v>5</v>
      </c>
      <c r="N535" s="19">
        <v>0</v>
      </c>
      <c r="O535" s="1">
        <v>0</v>
      </c>
      <c r="P535" s="19">
        <v>10</v>
      </c>
    </row>
    <row r="536" spans="1:16">
      <c r="A536" s="1">
        <v>535</v>
      </c>
      <c r="B536" s="1" t="s">
        <v>34</v>
      </c>
      <c r="C536" s="1" t="s">
        <v>742</v>
      </c>
      <c r="D536" s="1" t="str">
        <f>_xlfn.CONCAT(mmmm[[#This Row],[First Name]]," ",mmmm[[#This Row],[Last Name]])</f>
        <v>Ahmad Eyd Bndqjy</v>
      </c>
      <c r="E536" s="19" t="s">
        <v>18</v>
      </c>
      <c r="F536" s="11">
        <v>42945</v>
      </c>
      <c r="G536" s="19">
        <v>9</v>
      </c>
      <c r="H536" s="19" t="s">
        <v>31</v>
      </c>
      <c r="I536" s="19" t="s">
        <v>32</v>
      </c>
      <c r="J536" s="1" t="s">
        <v>33</v>
      </c>
      <c r="K536" s="19">
        <v>1981</v>
      </c>
      <c r="L536" s="19">
        <v>23772</v>
      </c>
      <c r="M536" s="19">
        <v>5</v>
      </c>
      <c r="N536" s="19">
        <v>1</v>
      </c>
      <c r="O536" s="1">
        <v>0</v>
      </c>
      <c r="P536" s="19">
        <v>3</v>
      </c>
    </row>
    <row r="537" spans="1:16">
      <c r="A537" s="1">
        <v>536</v>
      </c>
      <c r="B537" s="1" t="s">
        <v>565</v>
      </c>
      <c r="C537" s="1" t="s">
        <v>743</v>
      </c>
      <c r="D537" s="1" t="str">
        <f>_xlfn.CONCAT(mmmm[[#This Row],[First Name]]," ",mmmm[[#This Row],[Last Name]])</f>
        <v>Maria Lulu</v>
      </c>
      <c r="E537" s="19" t="s">
        <v>27</v>
      </c>
      <c r="F537" s="11">
        <v>43265</v>
      </c>
      <c r="G537" s="19">
        <v>8</v>
      </c>
      <c r="H537" s="19" t="s">
        <v>31</v>
      </c>
      <c r="I537" s="19" t="s">
        <v>24</v>
      </c>
      <c r="J537" s="1" t="s">
        <v>39</v>
      </c>
      <c r="K537" s="19">
        <v>1056</v>
      </c>
      <c r="L537" s="19">
        <v>12672</v>
      </c>
      <c r="M537" s="19">
        <v>3</v>
      </c>
      <c r="N537" s="19">
        <v>0</v>
      </c>
      <c r="O537" s="1">
        <v>0</v>
      </c>
      <c r="P537" s="19">
        <v>94</v>
      </c>
    </row>
    <row r="538" spans="1:16">
      <c r="A538" s="1">
        <v>537</v>
      </c>
      <c r="B538" s="1" t="s">
        <v>36</v>
      </c>
      <c r="C538" s="1" t="s">
        <v>744</v>
      </c>
      <c r="D538" s="1" t="str">
        <f>_xlfn.CONCAT(mmmm[[#This Row],[First Name]]," ",mmmm[[#This Row],[Last Name]])</f>
        <v>Muhamad Shhybr</v>
      </c>
      <c r="E538" s="19" t="s">
        <v>18</v>
      </c>
      <c r="F538" s="11">
        <v>43830</v>
      </c>
      <c r="G538" s="19">
        <v>6</v>
      </c>
      <c r="H538" s="19" t="s">
        <v>55</v>
      </c>
      <c r="I538" s="19" t="s">
        <v>20</v>
      </c>
      <c r="J538" s="1" t="s">
        <v>560</v>
      </c>
      <c r="K538" s="19">
        <v>3295</v>
      </c>
      <c r="L538" s="19">
        <v>39540</v>
      </c>
      <c r="M538" s="19">
        <v>5</v>
      </c>
      <c r="N538" s="19">
        <v>0</v>
      </c>
      <c r="O538" s="1">
        <v>0</v>
      </c>
      <c r="P538" s="19">
        <v>2</v>
      </c>
    </row>
    <row r="539" spans="1:16">
      <c r="A539" s="1">
        <v>538</v>
      </c>
      <c r="B539" s="1" t="s">
        <v>745</v>
      </c>
      <c r="C539" s="1" t="s">
        <v>746</v>
      </c>
      <c r="D539" s="1" t="str">
        <f>_xlfn.CONCAT(mmmm[[#This Row],[First Name]]," ",mmmm[[#This Row],[Last Name]])</f>
        <v>Abdalbasit Aljazayiriu</v>
      </c>
      <c r="E539" s="19" t="s">
        <v>18</v>
      </c>
      <c r="F539" s="11">
        <v>43746</v>
      </c>
      <c r="G539" s="19">
        <v>6</v>
      </c>
      <c r="H539" s="19" t="s">
        <v>55</v>
      </c>
      <c r="I539" s="19" t="s">
        <v>20</v>
      </c>
      <c r="J539" s="1" t="s">
        <v>39</v>
      </c>
      <c r="K539" s="19">
        <v>1022</v>
      </c>
      <c r="L539" s="19">
        <v>12264</v>
      </c>
      <c r="M539" s="19">
        <v>4.5</v>
      </c>
      <c r="N539" s="19">
        <v>1</v>
      </c>
      <c r="O539" s="1">
        <v>0</v>
      </c>
      <c r="P539" s="19">
        <v>2</v>
      </c>
    </row>
    <row r="540" spans="1:16">
      <c r="A540" s="1">
        <v>539</v>
      </c>
      <c r="B540" s="1" t="s">
        <v>73</v>
      </c>
      <c r="C540" s="1" t="s">
        <v>747</v>
      </c>
      <c r="D540" s="1" t="str">
        <f>_xlfn.CONCAT(mmmm[[#This Row],[First Name]]," ",mmmm[[#This Row],[Last Name]])</f>
        <v>Bilal Aywbi</v>
      </c>
      <c r="E540" s="19" t="s">
        <v>18</v>
      </c>
      <c r="F540" s="11">
        <v>44125</v>
      </c>
      <c r="G540" s="19">
        <v>5</v>
      </c>
      <c r="H540" s="19" t="s">
        <v>47</v>
      </c>
      <c r="I540" s="19" t="s">
        <v>32</v>
      </c>
      <c r="J540" s="1" t="s">
        <v>33</v>
      </c>
      <c r="K540" s="19">
        <v>969</v>
      </c>
      <c r="L540" s="19">
        <v>11628</v>
      </c>
      <c r="M540" s="19">
        <v>3</v>
      </c>
      <c r="N540" s="19">
        <v>1</v>
      </c>
      <c r="O540" s="1">
        <v>0</v>
      </c>
      <c r="P540" s="19">
        <v>0</v>
      </c>
    </row>
    <row r="541" spans="1:16">
      <c r="A541" s="1">
        <v>540</v>
      </c>
      <c r="B541" s="1" t="s">
        <v>34</v>
      </c>
      <c r="C541" s="1" t="s">
        <v>748</v>
      </c>
      <c r="D541" s="1" t="str">
        <f>_xlfn.CONCAT(mmmm[[#This Row],[First Name]]," ",mmmm[[#This Row],[Last Name]])</f>
        <v>Ahmad Dabana</v>
      </c>
      <c r="E541" s="19" t="s">
        <v>18</v>
      </c>
      <c r="F541" s="11">
        <v>43568</v>
      </c>
      <c r="G541" s="19">
        <v>7</v>
      </c>
      <c r="H541" s="19" t="s">
        <v>95</v>
      </c>
      <c r="I541" s="19" t="s">
        <v>20</v>
      </c>
      <c r="J541" s="1" t="s">
        <v>39</v>
      </c>
      <c r="K541" s="19">
        <v>3354</v>
      </c>
      <c r="L541" s="19">
        <v>40248</v>
      </c>
      <c r="M541" s="19">
        <v>4.5</v>
      </c>
      <c r="N541" s="19">
        <v>3</v>
      </c>
      <c r="O541" s="1">
        <v>0</v>
      </c>
      <c r="P541" s="19">
        <v>1</v>
      </c>
    </row>
    <row r="542" spans="1:16">
      <c r="A542" s="1">
        <v>541</v>
      </c>
      <c r="B542" s="1" t="s">
        <v>749</v>
      </c>
      <c r="C542" s="1" t="s">
        <v>290</v>
      </c>
      <c r="D542" s="1" t="str">
        <f>_xlfn.CONCAT(mmmm[[#This Row],[First Name]]," ",mmmm[[#This Row],[Last Name]])</f>
        <v>Fawaz Ghazal</v>
      </c>
      <c r="E542" s="19" t="s">
        <v>18</v>
      </c>
      <c r="F542" s="11">
        <v>43851</v>
      </c>
      <c r="G542" s="19">
        <v>6</v>
      </c>
      <c r="H542" s="19" t="s">
        <v>19</v>
      </c>
      <c r="I542" s="19" t="s">
        <v>20</v>
      </c>
      <c r="J542" s="1" t="s">
        <v>39</v>
      </c>
      <c r="K542" s="19">
        <v>2123</v>
      </c>
      <c r="L542" s="19">
        <v>25476</v>
      </c>
      <c r="M542" s="19">
        <v>5</v>
      </c>
      <c r="N542" s="19">
        <v>0</v>
      </c>
      <c r="O542" s="1">
        <v>0</v>
      </c>
      <c r="P542" s="19">
        <v>15</v>
      </c>
    </row>
    <row r="543" spans="1:16">
      <c r="A543" s="1">
        <v>542</v>
      </c>
      <c r="B543" s="1" t="s">
        <v>331</v>
      </c>
      <c r="C543" s="1" t="s">
        <v>578</v>
      </c>
      <c r="D543" s="1" t="str">
        <f>_xlfn.CONCAT(mmmm[[#This Row],[First Name]]," ",mmmm[[#This Row],[Last Name]])</f>
        <v>Bisam Altahhan</v>
      </c>
      <c r="E543" s="19" t="s">
        <v>27</v>
      </c>
      <c r="F543" s="11">
        <v>43728</v>
      </c>
      <c r="G543" s="19">
        <v>6</v>
      </c>
      <c r="H543" s="19" t="s">
        <v>55</v>
      </c>
      <c r="I543" s="19" t="s">
        <v>20</v>
      </c>
      <c r="J543" s="1" t="s">
        <v>21</v>
      </c>
      <c r="K543" s="19">
        <v>897</v>
      </c>
      <c r="L543" s="19">
        <v>10764</v>
      </c>
      <c r="M543" s="19">
        <v>3</v>
      </c>
      <c r="N543" s="19">
        <v>2</v>
      </c>
      <c r="O543" s="1">
        <v>0</v>
      </c>
      <c r="P543" s="19">
        <v>11</v>
      </c>
    </row>
    <row r="544" spans="1:16">
      <c r="A544" s="1">
        <v>543</v>
      </c>
      <c r="B544" s="1" t="s">
        <v>36</v>
      </c>
      <c r="C544" s="1" t="s">
        <v>304</v>
      </c>
      <c r="D544" s="1" t="str">
        <f>_xlfn.CONCAT(mmmm[[#This Row],[First Name]]," ",mmmm[[#This Row],[Last Name]])</f>
        <v>Muhamad Amir</v>
      </c>
      <c r="E544" s="19" t="s">
        <v>18</v>
      </c>
      <c r="F544" s="11">
        <v>43207</v>
      </c>
      <c r="G544" s="19">
        <v>8</v>
      </c>
      <c r="H544" s="19" t="s">
        <v>19</v>
      </c>
      <c r="I544" s="19" t="s">
        <v>24</v>
      </c>
      <c r="J544" s="1" t="s">
        <v>33</v>
      </c>
      <c r="K544" s="19">
        <v>2925</v>
      </c>
      <c r="L544" s="19">
        <v>35100</v>
      </c>
      <c r="M544" s="19">
        <v>3</v>
      </c>
      <c r="N544" s="19">
        <v>3</v>
      </c>
      <c r="O544" s="1">
        <v>0</v>
      </c>
      <c r="P544" s="19">
        <v>14</v>
      </c>
    </row>
    <row r="545" spans="1:16">
      <c r="A545" s="1">
        <v>544</v>
      </c>
      <c r="B545" s="1" t="s">
        <v>305</v>
      </c>
      <c r="C545" s="1" t="s">
        <v>750</v>
      </c>
      <c r="D545" s="1" t="str">
        <f>_xlfn.CONCAT(mmmm[[#This Row],[First Name]]," ",mmmm[[#This Row],[Last Name]])</f>
        <v>Lilas Nafae</v>
      </c>
      <c r="E545" s="19" t="s">
        <v>27</v>
      </c>
      <c r="F545" s="11">
        <v>43348</v>
      </c>
      <c r="G545" s="19">
        <v>7</v>
      </c>
      <c r="H545" s="19" t="s">
        <v>19</v>
      </c>
      <c r="I545" s="19" t="s">
        <v>20</v>
      </c>
      <c r="J545" s="1" t="s">
        <v>33</v>
      </c>
      <c r="K545" s="19">
        <v>1895</v>
      </c>
      <c r="L545" s="19">
        <v>22740</v>
      </c>
      <c r="M545" s="19">
        <v>2</v>
      </c>
      <c r="N545" s="19">
        <v>0</v>
      </c>
      <c r="O545" s="1">
        <v>5</v>
      </c>
      <c r="P545" s="19">
        <v>81</v>
      </c>
    </row>
    <row r="546" spans="1:16">
      <c r="A546" s="1">
        <v>545</v>
      </c>
      <c r="B546" s="1" t="s">
        <v>36</v>
      </c>
      <c r="C546" s="1" t="s">
        <v>127</v>
      </c>
      <c r="D546" s="1" t="str">
        <f>_xlfn.CONCAT(mmmm[[#This Row],[First Name]]," ",mmmm[[#This Row],[Last Name]])</f>
        <v>Muhamad Ayman</v>
      </c>
      <c r="E546" s="19" t="s">
        <v>18</v>
      </c>
      <c r="F546" s="11">
        <v>42409</v>
      </c>
      <c r="G546" s="19">
        <v>10</v>
      </c>
      <c r="H546" s="19" t="s">
        <v>165</v>
      </c>
      <c r="I546" s="19" t="s">
        <v>20</v>
      </c>
      <c r="J546" s="1" t="s">
        <v>21</v>
      </c>
      <c r="K546" s="19">
        <v>2191</v>
      </c>
      <c r="L546" s="19">
        <v>26292</v>
      </c>
      <c r="M546" s="19">
        <v>5</v>
      </c>
      <c r="N546" s="19">
        <v>2</v>
      </c>
      <c r="O546" s="1">
        <v>0</v>
      </c>
      <c r="P546" s="19">
        <v>7</v>
      </c>
    </row>
    <row r="547" spans="1:16">
      <c r="A547" s="1">
        <v>546</v>
      </c>
      <c r="B547" s="1" t="s">
        <v>751</v>
      </c>
      <c r="C547" s="1" t="s">
        <v>373</v>
      </c>
      <c r="D547" s="1" t="str">
        <f>_xlfn.CONCAT(mmmm[[#This Row],[First Name]]," ",mmmm[[#This Row],[Last Name]])</f>
        <v>Ranim Earabi</v>
      </c>
      <c r="E547" s="19" t="s">
        <v>27</v>
      </c>
      <c r="F547" s="11">
        <v>43890</v>
      </c>
      <c r="G547" s="19">
        <v>6</v>
      </c>
      <c r="H547" s="19" t="s">
        <v>146</v>
      </c>
      <c r="I547" s="19" t="s">
        <v>20</v>
      </c>
      <c r="J547" s="1" t="s">
        <v>39</v>
      </c>
      <c r="K547" s="19">
        <v>3130</v>
      </c>
      <c r="L547" s="19">
        <v>37560</v>
      </c>
      <c r="M547" s="19">
        <v>3</v>
      </c>
      <c r="N547" s="19">
        <v>0</v>
      </c>
      <c r="O547" s="1">
        <v>0</v>
      </c>
      <c r="P547" s="19">
        <v>5</v>
      </c>
    </row>
    <row r="548" spans="1:16">
      <c r="A548" s="1">
        <v>547</v>
      </c>
      <c r="B548" s="1" t="s">
        <v>752</v>
      </c>
      <c r="C548" s="1" t="s">
        <v>753</v>
      </c>
      <c r="D548" s="1" t="str">
        <f>_xlfn.CONCAT(mmmm[[#This Row],[First Name]]," ",mmmm[[#This Row],[Last Name]])</f>
        <v>Amani Altujjar</v>
      </c>
      <c r="E548" s="19" t="s">
        <v>27</v>
      </c>
      <c r="F548" s="11">
        <v>42695</v>
      </c>
      <c r="G548" s="19">
        <v>9</v>
      </c>
      <c r="H548" s="19" t="s">
        <v>38</v>
      </c>
      <c r="I548" s="19" t="s">
        <v>20</v>
      </c>
      <c r="J548" s="1" t="s">
        <v>21</v>
      </c>
      <c r="K548" s="19">
        <v>2654</v>
      </c>
      <c r="L548" s="19">
        <v>31848</v>
      </c>
      <c r="M548" s="19">
        <v>3</v>
      </c>
      <c r="N548" s="19">
        <v>0</v>
      </c>
      <c r="O548" s="1">
        <v>1</v>
      </c>
      <c r="P548" s="19">
        <v>7</v>
      </c>
    </row>
    <row r="549" spans="1:16">
      <c r="A549" s="1">
        <v>548</v>
      </c>
      <c r="B549" s="1" t="s">
        <v>36</v>
      </c>
      <c r="C549" s="1" t="s">
        <v>754</v>
      </c>
      <c r="D549" s="1" t="str">
        <f>_xlfn.CONCAT(mmmm[[#This Row],[First Name]]," ",mmmm[[#This Row],[Last Name]])</f>
        <v>Muhamad Rashid</v>
      </c>
      <c r="E549" s="19" t="s">
        <v>18</v>
      </c>
      <c r="F549" s="11">
        <v>44192</v>
      </c>
      <c r="G549" s="19">
        <v>5</v>
      </c>
      <c r="H549" s="19" t="s">
        <v>19</v>
      </c>
      <c r="I549" s="19" t="s">
        <v>24</v>
      </c>
      <c r="J549" s="1" t="s">
        <v>33</v>
      </c>
      <c r="K549" s="19">
        <v>859</v>
      </c>
      <c r="L549" s="19">
        <v>10308</v>
      </c>
      <c r="M549" s="19">
        <v>5</v>
      </c>
      <c r="N549" s="19">
        <v>0</v>
      </c>
      <c r="O549" s="1">
        <v>1</v>
      </c>
      <c r="P549" s="19">
        <v>5</v>
      </c>
    </row>
    <row r="550" spans="1:16">
      <c r="A550" s="1">
        <v>549</v>
      </c>
      <c r="B550" s="1" t="s">
        <v>755</v>
      </c>
      <c r="C550" s="1" t="s">
        <v>756</v>
      </c>
      <c r="D550" s="1" t="str">
        <f>_xlfn.CONCAT(mmmm[[#This Row],[First Name]]," ",mmmm[[#This Row],[Last Name]])</f>
        <v>Amin Hamid</v>
      </c>
      <c r="E550" s="19" t="s">
        <v>18</v>
      </c>
      <c r="F550" s="11">
        <v>42537</v>
      </c>
      <c r="G550" s="19">
        <v>10</v>
      </c>
      <c r="H550" s="19" t="s">
        <v>79</v>
      </c>
      <c r="I550" s="19" t="s">
        <v>20</v>
      </c>
      <c r="J550" s="1" t="s">
        <v>39</v>
      </c>
      <c r="K550" s="19">
        <v>1113</v>
      </c>
      <c r="L550" s="19">
        <v>13356</v>
      </c>
      <c r="M550" s="19">
        <v>3</v>
      </c>
      <c r="N550" s="19">
        <v>4</v>
      </c>
      <c r="O550" s="1">
        <v>0</v>
      </c>
      <c r="P550" s="19">
        <v>11</v>
      </c>
    </row>
    <row r="551" spans="1:16">
      <c r="A551" s="1">
        <v>550</v>
      </c>
      <c r="B551" s="1" t="s">
        <v>167</v>
      </c>
      <c r="C551" s="1" t="s">
        <v>709</v>
      </c>
      <c r="D551" s="1" t="str">
        <f>_xlfn.CONCAT(mmmm[[#This Row],[First Name]]," ",mmmm[[#This Row],[Last Name]])</f>
        <v>Khalid Jameah</v>
      </c>
      <c r="E551" s="19" t="s">
        <v>18</v>
      </c>
      <c r="F551" s="11">
        <v>43725</v>
      </c>
      <c r="G551" s="19">
        <v>6</v>
      </c>
      <c r="H551" s="19" t="s">
        <v>44</v>
      </c>
      <c r="I551" s="19" t="s">
        <v>20</v>
      </c>
      <c r="J551" s="1" t="s">
        <v>62</v>
      </c>
      <c r="K551" s="19">
        <v>1234</v>
      </c>
      <c r="L551" s="19">
        <v>14808</v>
      </c>
      <c r="M551" s="19">
        <v>5</v>
      </c>
      <c r="N551" s="19">
        <v>1</v>
      </c>
      <c r="O551" s="1">
        <v>5</v>
      </c>
      <c r="P551" s="19">
        <v>10</v>
      </c>
    </row>
    <row r="552" spans="1:16">
      <c r="A552" s="1">
        <v>551</v>
      </c>
      <c r="B552" s="1" t="s">
        <v>624</v>
      </c>
      <c r="C552" s="1" t="s">
        <v>397</v>
      </c>
      <c r="D552" s="1" t="str">
        <f>_xlfn.CONCAT(mmmm[[#This Row],[First Name]]," ",mmmm[[#This Row],[Last Name]])</f>
        <v>Fahd Shaykh</v>
      </c>
      <c r="E552" s="19" t="s">
        <v>18</v>
      </c>
      <c r="F552" s="11">
        <v>43815</v>
      </c>
      <c r="G552" s="19">
        <v>6</v>
      </c>
      <c r="H552" s="19" t="s">
        <v>60</v>
      </c>
      <c r="I552" s="19" t="s">
        <v>20</v>
      </c>
      <c r="J552" s="1" t="s">
        <v>39</v>
      </c>
      <c r="K552" s="19">
        <v>2647</v>
      </c>
      <c r="L552" s="19">
        <v>31764</v>
      </c>
      <c r="M552" s="19">
        <v>3</v>
      </c>
      <c r="N552" s="19">
        <v>4</v>
      </c>
      <c r="O552" s="1">
        <v>0</v>
      </c>
      <c r="P552" s="19">
        <v>1</v>
      </c>
    </row>
    <row r="553" spans="1:16">
      <c r="A553" s="1">
        <v>552</v>
      </c>
      <c r="B553" s="1" t="s">
        <v>305</v>
      </c>
      <c r="C553" s="1" t="s">
        <v>757</v>
      </c>
      <c r="D553" s="1" t="str">
        <f>_xlfn.CONCAT(mmmm[[#This Row],[First Name]]," ",mmmm[[#This Row],[Last Name]])</f>
        <v>Lilas Kashik</v>
      </c>
      <c r="E553" s="19" t="s">
        <v>27</v>
      </c>
      <c r="F553" s="11">
        <v>42583</v>
      </c>
      <c r="G553" s="19">
        <v>10</v>
      </c>
      <c r="H553" s="19" t="s">
        <v>47</v>
      </c>
      <c r="I553" s="19" t="s">
        <v>24</v>
      </c>
      <c r="J553" s="1" t="s">
        <v>39</v>
      </c>
      <c r="K553" s="19">
        <v>2200</v>
      </c>
      <c r="L553" s="19">
        <v>26400</v>
      </c>
      <c r="M553" s="19">
        <v>1</v>
      </c>
      <c r="N553" s="19">
        <v>1</v>
      </c>
      <c r="O553" s="1">
        <v>0</v>
      </c>
      <c r="P553" s="19">
        <v>6</v>
      </c>
    </row>
    <row r="554" spans="1:16">
      <c r="A554" s="1">
        <v>553</v>
      </c>
      <c r="B554" s="1" t="s">
        <v>231</v>
      </c>
      <c r="C554" s="1" t="s">
        <v>370</v>
      </c>
      <c r="D554" s="1" t="str">
        <f>_xlfn.CONCAT(mmmm[[#This Row],[First Name]]," ",mmmm[[#This Row],[Last Name]])</f>
        <v>Fatima Hasan</v>
      </c>
      <c r="E554" s="19" t="s">
        <v>27</v>
      </c>
      <c r="F554" s="11">
        <v>43183</v>
      </c>
      <c r="G554" s="19">
        <v>8</v>
      </c>
      <c r="H554" s="19" t="s">
        <v>28</v>
      </c>
      <c r="I554" s="19" t="s">
        <v>20</v>
      </c>
      <c r="J554" s="1" t="s">
        <v>39</v>
      </c>
      <c r="K554" s="19">
        <v>2381</v>
      </c>
      <c r="L554" s="19">
        <v>28572</v>
      </c>
      <c r="M554" s="19">
        <v>4.5</v>
      </c>
      <c r="N554" s="19">
        <v>2</v>
      </c>
      <c r="O554" s="1">
        <v>0</v>
      </c>
      <c r="P554" s="19">
        <v>10</v>
      </c>
    </row>
    <row r="555" spans="1:16">
      <c r="A555" s="1">
        <v>554</v>
      </c>
      <c r="B555" s="1" t="s">
        <v>328</v>
      </c>
      <c r="C555" s="1" t="s">
        <v>758</v>
      </c>
      <c r="D555" s="1" t="str">
        <f>_xlfn.CONCAT(mmmm[[#This Row],[First Name]]," ",mmmm[[#This Row],[Last Name]])</f>
        <v>Diea Dakhal</v>
      </c>
      <c r="E555" s="19" t="s">
        <v>18</v>
      </c>
      <c r="F555" s="11">
        <v>43817</v>
      </c>
      <c r="G555" s="19">
        <v>6</v>
      </c>
      <c r="H555" s="19" t="s">
        <v>44</v>
      </c>
      <c r="I555" s="19" t="s">
        <v>32</v>
      </c>
      <c r="J555" s="1" t="s">
        <v>33</v>
      </c>
      <c r="K555" s="19">
        <v>2329</v>
      </c>
      <c r="L555" s="19">
        <v>27948</v>
      </c>
      <c r="M555" s="19">
        <v>2</v>
      </c>
      <c r="N555" s="19">
        <v>0</v>
      </c>
      <c r="O555" s="1">
        <v>0</v>
      </c>
      <c r="P555" s="19">
        <v>5</v>
      </c>
    </row>
    <row r="556" spans="1:16">
      <c r="A556" s="1">
        <v>555</v>
      </c>
      <c r="B556" s="1" t="s">
        <v>304</v>
      </c>
      <c r="C556" s="1" t="s">
        <v>759</v>
      </c>
      <c r="D556" s="1" t="str">
        <f>_xlfn.CONCAT(mmmm[[#This Row],[First Name]]," ",mmmm[[#This Row],[Last Name]])</f>
        <v>Amir Karishati</v>
      </c>
      <c r="E556" s="19" t="s">
        <v>18</v>
      </c>
      <c r="F556" s="11">
        <v>43676</v>
      </c>
      <c r="G556" s="19">
        <v>7</v>
      </c>
      <c r="H556" s="19" t="s">
        <v>31</v>
      </c>
      <c r="I556" s="19" t="s">
        <v>20</v>
      </c>
      <c r="J556" s="1" t="s">
        <v>33</v>
      </c>
      <c r="K556" s="19">
        <v>1075</v>
      </c>
      <c r="L556" s="19">
        <v>12900</v>
      </c>
      <c r="M556" s="19">
        <v>3</v>
      </c>
      <c r="N556" s="19">
        <v>0</v>
      </c>
      <c r="O556" s="1">
        <v>4</v>
      </c>
      <c r="P556" s="19">
        <v>61</v>
      </c>
    </row>
    <row r="557" spans="1:16">
      <c r="A557" s="1">
        <v>556</v>
      </c>
      <c r="B557" s="1" t="s">
        <v>335</v>
      </c>
      <c r="C557" s="1" t="s">
        <v>760</v>
      </c>
      <c r="D557" s="1" t="str">
        <f>_xlfn.CONCAT(mmmm[[#This Row],[First Name]]," ",mmmm[[#This Row],[Last Name]])</f>
        <v>Madlin Alsaed</v>
      </c>
      <c r="E557" s="19" t="s">
        <v>27</v>
      </c>
      <c r="F557" s="11">
        <v>43013</v>
      </c>
      <c r="G557" s="19">
        <v>8</v>
      </c>
      <c r="H557" s="19" t="s">
        <v>60</v>
      </c>
      <c r="I557" s="19" t="s">
        <v>20</v>
      </c>
      <c r="J557" s="1" t="s">
        <v>33</v>
      </c>
      <c r="K557" s="19">
        <v>3110</v>
      </c>
      <c r="L557" s="19">
        <v>37320</v>
      </c>
      <c r="M557" s="19">
        <v>1</v>
      </c>
      <c r="N557" s="19">
        <v>1</v>
      </c>
      <c r="O557" s="1">
        <v>4</v>
      </c>
      <c r="P557" s="19">
        <v>1</v>
      </c>
    </row>
    <row r="558" spans="1:16">
      <c r="A558" s="1">
        <v>557</v>
      </c>
      <c r="B558" s="1" t="s">
        <v>461</v>
      </c>
      <c r="C558" s="1" t="s">
        <v>761</v>
      </c>
      <c r="D558" s="1" t="str">
        <f>_xlfn.CONCAT(mmmm[[#This Row],[First Name]]," ",mmmm[[#This Row],[Last Name]])</f>
        <v>Adnan Aleaqla</v>
      </c>
      <c r="E558" s="19" t="s">
        <v>18</v>
      </c>
      <c r="F558" s="11">
        <v>42878</v>
      </c>
      <c r="G558" s="19">
        <v>9</v>
      </c>
      <c r="H558" s="19" t="s">
        <v>31</v>
      </c>
      <c r="I558" s="19" t="s">
        <v>20</v>
      </c>
      <c r="J558" s="1" t="s">
        <v>39</v>
      </c>
      <c r="K558" s="19">
        <v>2777</v>
      </c>
      <c r="L558" s="19">
        <v>33324</v>
      </c>
      <c r="M558" s="19">
        <v>5</v>
      </c>
      <c r="N558" s="19">
        <v>0</v>
      </c>
      <c r="O558" s="1">
        <v>0</v>
      </c>
      <c r="P558" s="19">
        <v>10</v>
      </c>
    </row>
    <row r="559" spans="1:16">
      <c r="A559" s="1">
        <v>558</v>
      </c>
      <c r="B559" s="1" t="s">
        <v>36</v>
      </c>
      <c r="C559" s="1" t="s">
        <v>762</v>
      </c>
      <c r="D559" s="1" t="str">
        <f>_xlfn.CONCAT(mmmm[[#This Row],[First Name]]," ",mmmm[[#This Row],[Last Name]])</f>
        <v>Muhamad Eursaly</v>
      </c>
      <c r="E559" s="19" t="s">
        <v>18</v>
      </c>
      <c r="F559" s="11">
        <v>43525</v>
      </c>
      <c r="G559" s="19">
        <v>7</v>
      </c>
      <c r="H559" s="19" t="s">
        <v>78</v>
      </c>
      <c r="I559" s="19" t="s">
        <v>20</v>
      </c>
      <c r="J559" s="1" t="s">
        <v>21</v>
      </c>
      <c r="K559" s="19">
        <v>2306</v>
      </c>
      <c r="L559" s="19">
        <v>27672</v>
      </c>
      <c r="M559" s="19">
        <v>2</v>
      </c>
      <c r="N559" s="19">
        <v>5</v>
      </c>
      <c r="O559" s="1">
        <v>5</v>
      </c>
      <c r="P559" s="19">
        <v>11</v>
      </c>
    </row>
    <row r="560" spans="1:16">
      <c r="A560" s="1">
        <v>559</v>
      </c>
      <c r="B560" s="1" t="s">
        <v>208</v>
      </c>
      <c r="C560" s="1" t="s">
        <v>763</v>
      </c>
      <c r="D560" s="1" t="str">
        <f>_xlfn.CONCAT(mmmm[[#This Row],[First Name]]," ",mmmm[[#This Row],[Last Name]])</f>
        <v>Ranya Alaishhab</v>
      </c>
      <c r="E560" s="19" t="s">
        <v>27</v>
      </c>
      <c r="F560" s="11">
        <v>42722</v>
      </c>
      <c r="G560" s="19">
        <v>9</v>
      </c>
      <c r="H560" s="19" t="s">
        <v>79</v>
      </c>
      <c r="I560" s="19" t="s">
        <v>20</v>
      </c>
      <c r="J560" s="1" t="s">
        <v>33</v>
      </c>
      <c r="K560" s="19">
        <v>1213</v>
      </c>
      <c r="L560" s="19">
        <v>14556</v>
      </c>
      <c r="M560" s="19">
        <v>3</v>
      </c>
      <c r="N560" s="19">
        <v>0</v>
      </c>
      <c r="O560" s="1">
        <v>0</v>
      </c>
      <c r="P560" s="19">
        <v>10</v>
      </c>
    </row>
    <row r="561" spans="1:16">
      <c r="A561" s="1">
        <v>560</v>
      </c>
      <c r="B561" s="1" t="s">
        <v>764</v>
      </c>
      <c r="C561" s="1" t="s">
        <v>765</v>
      </c>
      <c r="D561" s="1" t="str">
        <f>_xlfn.CONCAT(mmmm[[#This Row],[First Name]]," ",mmmm[[#This Row],[Last Name]])</f>
        <v>Rulaa Shannar</v>
      </c>
      <c r="E561" s="19" t="s">
        <v>27</v>
      </c>
      <c r="F561" s="11">
        <v>43940</v>
      </c>
      <c r="G561" s="19">
        <v>6</v>
      </c>
      <c r="H561" s="19" t="s">
        <v>79</v>
      </c>
      <c r="I561" s="19" t="s">
        <v>20</v>
      </c>
      <c r="J561" s="1" t="s">
        <v>62</v>
      </c>
      <c r="K561" s="19">
        <v>2680</v>
      </c>
      <c r="L561" s="19">
        <v>32160</v>
      </c>
      <c r="M561" s="19">
        <v>4.5</v>
      </c>
      <c r="N561" s="19">
        <v>0</v>
      </c>
      <c r="O561" s="1">
        <v>0</v>
      </c>
      <c r="P561" s="19">
        <v>1</v>
      </c>
    </row>
    <row r="562" spans="1:16">
      <c r="A562" s="1">
        <v>561</v>
      </c>
      <c r="B562" s="1" t="s">
        <v>766</v>
      </c>
      <c r="C562" s="1" t="s">
        <v>767</v>
      </c>
      <c r="D562" s="1" t="str">
        <f>_xlfn.CONCAT(mmmm[[#This Row],[First Name]]," ",mmmm[[#This Row],[Last Name]])</f>
        <v>Aynas Alhiwat</v>
      </c>
      <c r="E562" s="19" t="s">
        <v>27</v>
      </c>
      <c r="F562" s="11">
        <v>44152</v>
      </c>
      <c r="G562" s="19">
        <v>5</v>
      </c>
      <c r="H562" s="19" t="s">
        <v>79</v>
      </c>
      <c r="I562" s="19" t="s">
        <v>20</v>
      </c>
      <c r="J562" s="1" t="s">
        <v>560</v>
      </c>
      <c r="K562" s="19">
        <v>2204</v>
      </c>
      <c r="L562" s="19">
        <v>26448</v>
      </c>
      <c r="M562" s="19">
        <v>4.5</v>
      </c>
      <c r="N562" s="19">
        <v>1</v>
      </c>
      <c r="O562" s="1">
        <v>0</v>
      </c>
      <c r="P562" s="19">
        <v>4</v>
      </c>
    </row>
    <row r="563" spans="1:16">
      <c r="A563" s="1">
        <v>562</v>
      </c>
      <c r="B563" s="1" t="s">
        <v>768</v>
      </c>
      <c r="C563" s="1" t="s">
        <v>769</v>
      </c>
      <c r="D563" s="1" t="str">
        <f>_xlfn.CONCAT(mmmm[[#This Row],[First Name]]," ",mmmm[[#This Row],[Last Name]])</f>
        <v>Sara Tabanaj</v>
      </c>
      <c r="E563" s="19" t="s">
        <v>27</v>
      </c>
      <c r="F563" s="11">
        <v>43113</v>
      </c>
      <c r="G563" s="19">
        <v>8</v>
      </c>
      <c r="H563" s="19" t="s">
        <v>31</v>
      </c>
      <c r="I563" s="19" t="s">
        <v>20</v>
      </c>
      <c r="J563" s="1" t="s">
        <v>33</v>
      </c>
      <c r="K563" s="19">
        <v>1297</v>
      </c>
      <c r="L563" s="19">
        <v>15564</v>
      </c>
      <c r="M563" s="19">
        <v>2</v>
      </c>
      <c r="N563" s="19">
        <v>2</v>
      </c>
      <c r="O563" s="1">
        <v>0</v>
      </c>
      <c r="P563" s="19">
        <v>8</v>
      </c>
    </row>
    <row r="564" spans="1:16">
      <c r="A564" s="1">
        <v>563</v>
      </c>
      <c r="B564" s="1" t="s">
        <v>507</v>
      </c>
      <c r="C564" s="1" t="s">
        <v>770</v>
      </c>
      <c r="D564" s="1" t="str">
        <f>_xlfn.CONCAT(mmmm[[#This Row],[First Name]]," ",mmmm[[#This Row],[Last Name]])</f>
        <v>Abd Allah Aldahan</v>
      </c>
      <c r="E564" s="19" t="s">
        <v>18</v>
      </c>
      <c r="F564" s="11">
        <v>44179</v>
      </c>
      <c r="G564" s="19">
        <v>5</v>
      </c>
      <c r="H564" s="19" t="s">
        <v>19</v>
      </c>
      <c r="I564" s="19" t="s">
        <v>20</v>
      </c>
      <c r="J564" s="1" t="s">
        <v>39</v>
      </c>
      <c r="K564" s="19">
        <v>3024</v>
      </c>
      <c r="L564" s="19">
        <v>36288</v>
      </c>
      <c r="M564" s="19">
        <v>4.5</v>
      </c>
      <c r="N564" s="19">
        <v>6</v>
      </c>
      <c r="O564" s="1">
        <v>1</v>
      </c>
      <c r="P564" s="19">
        <v>48</v>
      </c>
    </row>
    <row r="565" spans="1:16">
      <c r="A565" s="1">
        <v>564</v>
      </c>
      <c r="B565" s="1" t="s">
        <v>36</v>
      </c>
      <c r="C565" s="1" t="s">
        <v>771</v>
      </c>
      <c r="D565" s="1" t="str">
        <f>_xlfn.CONCAT(mmmm[[#This Row],[First Name]]," ",mmmm[[#This Row],[Last Name]])</f>
        <v>Muhamad Ramzi</v>
      </c>
      <c r="E565" s="19" t="s">
        <v>18</v>
      </c>
      <c r="F565" s="11">
        <v>43142</v>
      </c>
      <c r="G565" s="19">
        <v>8</v>
      </c>
      <c r="H565" s="19" t="s">
        <v>120</v>
      </c>
      <c r="I565" s="19" t="s">
        <v>20</v>
      </c>
      <c r="J565" s="1" t="s">
        <v>33</v>
      </c>
      <c r="K565" s="19">
        <v>2228</v>
      </c>
      <c r="L565" s="19">
        <v>26736</v>
      </c>
      <c r="M565" s="19">
        <v>5</v>
      </c>
      <c r="N565" s="19">
        <v>1</v>
      </c>
      <c r="O565" s="1">
        <v>0</v>
      </c>
      <c r="P565" s="19">
        <v>78</v>
      </c>
    </row>
    <row r="566" spans="1:16">
      <c r="A566" s="1">
        <v>565</v>
      </c>
      <c r="B566" s="1" t="s">
        <v>772</v>
      </c>
      <c r="C566" s="1" t="s">
        <v>773</v>
      </c>
      <c r="D566" s="1" t="str">
        <f>_xlfn.CONCAT(mmmm[[#This Row],[First Name]]," ",mmmm[[#This Row],[Last Name]])</f>
        <v>Jan Mikayiylian</v>
      </c>
      <c r="E566" s="19" t="s">
        <v>18</v>
      </c>
      <c r="F566" s="11">
        <v>42377</v>
      </c>
      <c r="G566" s="19">
        <v>10</v>
      </c>
      <c r="H566" s="19" t="s">
        <v>79</v>
      </c>
      <c r="I566" s="19" t="s">
        <v>20</v>
      </c>
      <c r="J566" s="1" t="s">
        <v>21</v>
      </c>
      <c r="K566" s="19">
        <v>2009</v>
      </c>
      <c r="L566" s="19">
        <v>24108</v>
      </c>
      <c r="M566" s="19">
        <v>4.5</v>
      </c>
      <c r="N566" s="19">
        <v>6</v>
      </c>
      <c r="O566" s="1">
        <v>0</v>
      </c>
      <c r="P566" s="19">
        <v>0</v>
      </c>
    </row>
    <row r="567" spans="1:16">
      <c r="A567" s="1">
        <v>566</v>
      </c>
      <c r="B567" s="1" t="s">
        <v>774</v>
      </c>
      <c r="C567" s="1" t="s">
        <v>775</v>
      </c>
      <c r="D567" s="1" t="str">
        <f>_xlfn.CONCAT(mmmm[[#This Row],[First Name]]," ",mmmm[[#This Row],[Last Name]])</f>
        <v>Almuthanaa Alsaediu</v>
      </c>
      <c r="E567" s="19" t="s">
        <v>18</v>
      </c>
      <c r="F567" s="11">
        <v>44087</v>
      </c>
      <c r="G567" s="19">
        <v>5</v>
      </c>
      <c r="H567" s="19" t="s">
        <v>44</v>
      </c>
      <c r="I567" s="19" t="s">
        <v>20</v>
      </c>
      <c r="J567" s="1" t="s">
        <v>39</v>
      </c>
      <c r="K567" s="19">
        <v>2573</v>
      </c>
      <c r="L567" s="19">
        <v>30876</v>
      </c>
      <c r="M567" s="19">
        <v>5</v>
      </c>
      <c r="N567" s="19">
        <v>0</v>
      </c>
      <c r="O567" s="1">
        <v>0</v>
      </c>
      <c r="P567" s="19">
        <v>28</v>
      </c>
    </row>
    <row r="568" spans="1:16">
      <c r="A568" s="1">
        <v>567</v>
      </c>
      <c r="B568" s="1" t="s">
        <v>776</v>
      </c>
      <c r="C568" s="1" t="s">
        <v>413</v>
      </c>
      <c r="D568" s="1" t="str">
        <f>_xlfn.CONCAT(mmmm[[#This Row],[First Name]]," ",mmmm[[#This Row],[Last Name]])</f>
        <v>Emad Dulul</v>
      </c>
      <c r="E568" s="19" t="s">
        <v>18</v>
      </c>
      <c r="F568" s="11">
        <v>43194</v>
      </c>
      <c r="G568" s="19">
        <v>8</v>
      </c>
      <c r="H568" s="19" t="s">
        <v>31</v>
      </c>
      <c r="I568" s="19" t="s">
        <v>20</v>
      </c>
      <c r="J568" s="1" t="s">
        <v>39</v>
      </c>
      <c r="K568" s="19">
        <v>1938</v>
      </c>
      <c r="L568" s="19">
        <v>23256</v>
      </c>
      <c r="M568" s="19">
        <v>3</v>
      </c>
      <c r="N568" s="19">
        <v>0</v>
      </c>
      <c r="O568" s="1">
        <v>0</v>
      </c>
      <c r="P568" s="19">
        <v>7</v>
      </c>
    </row>
    <row r="569" spans="1:16">
      <c r="A569" s="1">
        <v>568</v>
      </c>
      <c r="B569" s="1" t="s">
        <v>580</v>
      </c>
      <c r="C569" s="1" t="s">
        <v>777</v>
      </c>
      <c r="D569" s="1" t="str">
        <f>_xlfn.CONCAT(mmmm[[#This Row],[First Name]]," ",mmmm[[#This Row],[Last Name]])</f>
        <v>Sarah Haydar</v>
      </c>
      <c r="E569" s="19" t="s">
        <v>27</v>
      </c>
      <c r="F569" s="11">
        <v>43663</v>
      </c>
      <c r="G569" s="19">
        <v>7</v>
      </c>
      <c r="H569" s="19" t="s">
        <v>44</v>
      </c>
      <c r="I569" s="19" t="s">
        <v>20</v>
      </c>
      <c r="J569" s="1" t="s">
        <v>33</v>
      </c>
      <c r="K569" s="19">
        <v>1208</v>
      </c>
      <c r="L569" s="19">
        <v>14496</v>
      </c>
      <c r="M569" s="19">
        <v>5</v>
      </c>
      <c r="N569" s="19">
        <v>3</v>
      </c>
      <c r="O569" s="1">
        <v>0</v>
      </c>
      <c r="P569" s="19">
        <v>10</v>
      </c>
    </row>
    <row r="570" spans="1:16">
      <c r="A570" s="1">
        <v>569</v>
      </c>
      <c r="B570" s="1" t="s">
        <v>778</v>
      </c>
      <c r="C570" s="1" t="s">
        <v>779</v>
      </c>
      <c r="D570" s="1" t="str">
        <f>_xlfn.CONCAT(mmmm[[#This Row],[First Name]]," ",mmmm[[#This Row],[Last Name]])</f>
        <v>Abdalkarim Shueayb</v>
      </c>
      <c r="E570" s="19" t="s">
        <v>18</v>
      </c>
      <c r="F570" s="11">
        <v>43663</v>
      </c>
      <c r="G570" s="19">
        <v>7</v>
      </c>
      <c r="H570" s="19" t="s">
        <v>75</v>
      </c>
      <c r="I570" s="19" t="s">
        <v>50</v>
      </c>
      <c r="J570" s="1" t="s">
        <v>21</v>
      </c>
      <c r="K570" s="19">
        <v>2342</v>
      </c>
      <c r="L570" s="19">
        <v>28104</v>
      </c>
      <c r="M570" s="19">
        <v>4.5</v>
      </c>
      <c r="N570" s="19">
        <v>5</v>
      </c>
      <c r="O570" s="1">
        <v>0</v>
      </c>
      <c r="P570" s="19">
        <v>10</v>
      </c>
    </row>
    <row r="571" spans="1:16">
      <c r="A571" s="1">
        <v>570</v>
      </c>
      <c r="B571" s="1" t="s">
        <v>36</v>
      </c>
      <c r="C571" s="1" t="s">
        <v>181</v>
      </c>
      <c r="D571" s="1" t="str">
        <f>_xlfn.CONCAT(mmmm[[#This Row],[First Name]]," ",mmmm[[#This Row],[Last Name]])</f>
        <v>Muhamad Khayr</v>
      </c>
      <c r="E571" s="19" t="s">
        <v>18</v>
      </c>
      <c r="F571" s="11">
        <v>43950</v>
      </c>
      <c r="G571" s="19">
        <v>6</v>
      </c>
      <c r="H571" s="19" t="s">
        <v>52</v>
      </c>
      <c r="I571" s="19" t="s">
        <v>20</v>
      </c>
      <c r="J571" s="1" t="s">
        <v>33</v>
      </c>
      <c r="K571" s="19">
        <v>3244</v>
      </c>
      <c r="L571" s="19">
        <v>38928</v>
      </c>
      <c r="M571" s="19">
        <v>4.5</v>
      </c>
      <c r="N571" s="19">
        <v>0</v>
      </c>
      <c r="O571" s="1">
        <v>0</v>
      </c>
      <c r="P571" s="19">
        <v>78</v>
      </c>
    </row>
    <row r="572" spans="1:16">
      <c r="A572" s="1">
        <v>571</v>
      </c>
      <c r="B572" s="1" t="s">
        <v>131</v>
      </c>
      <c r="C572" s="1" t="s">
        <v>780</v>
      </c>
      <c r="D572" s="1" t="str">
        <f>_xlfn.CONCAT(mmmm[[#This Row],[First Name]]," ",mmmm[[#This Row],[Last Name]])</f>
        <v>Shadi Qitan</v>
      </c>
      <c r="E572" s="19" t="s">
        <v>18</v>
      </c>
      <c r="F572" s="11">
        <v>42829</v>
      </c>
      <c r="G572" s="19">
        <v>9</v>
      </c>
      <c r="H572" s="19" t="s">
        <v>44</v>
      </c>
      <c r="I572" s="19" t="s">
        <v>20</v>
      </c>
      <c r="J572" s="1" t="s">
        <v>39</v>
      </c>
      <c r="K572" s="19">
        <v>2613</v>
      </c>
      <c r="L572" s="19">
        <v>31356</v>
      </c>
      <c r="M572" s="19">
        <v>4.5</v>
      </c>
      <c r="N572" s="19">
        <v>0</v>
      </c>
      <c r="O572" s="1">
        <v>1</v>
      </c>
      <c r="P572" s="19">
        <v>5</v>
      </c>
    </row>
    <row r="573" spans="1:16">
      <c r="A573" s="1">
        <v>572</v>
      </c>
      <c r="B573" s="1" t="s">
        <v>36</v>
      </c>
      <c r="C573" s="1" t="s">
        <v>781</v>
      </c>
      <c r="D573" s="1" t="str">
        <f>_xlfn.CONCAT(mmmm[[#This Row],[First Name]]," ",mmmm[[#This Row],[Last Name]])</f>
        <v>Muhamad Rajab</v>
      </c>
      <c r="E573" s="19" t="s">
        <v>18</v>
      </c>
      <c r="F573" s="11">
        <v>44184</v>
      </c>
      <c r="G573" s="19">
        <v>5</v>
      </c>
      <c r="H573" s="19" t="s">
        <v>31</v>
      </c>
      <c r="I573" s="19" t="s">
        <v>24</v>
      </c>
      <c r="J573" s="1" t="s">
        <v>33</v>
      </c>
      <c r="K573" s="19">
        <v>2263</v>
      </c>
      <c r="L573" s="19">
        <v>27156</v>
      </c>
      <c r="M573" s="19">
        <v>5</v>
      </c>
      <c r="N573" s="19">
        <v>0</v>
      </c>
      <c r="O573" s="1">
        <v>0</v>
      </c>
      <c r="P573" s="19">
        <v>9</v>
      </c>
    </row>
    <row r="574" spans="1:16">
      <c r="A574" s="1">
        <v>573</v>
      </c>
      <c r="B574" s="1" t="s">
        <v>167</v>
      </c>
      <c r="C574" s="1" t="s">
        <v>700</v>
      </c>
      <c r="D574" s="1" t="str">
        <f>_xlfn.CONCAT(mmmm[[#This Row],[First Name]]," ",mmmm[[#This Row],[Last Name]])</f>
        <v>Khalid Alkhawam</v>
      </c>
      <c r="E574" s="19" t="s">
        <v>18</v>
      </c>
      <c r="F574" s="11">
        <v>42557</v>
      </c>
      <c r="G574" s="19">
        <v>10</v>
      </c>
      <c r="H574" s="19" t="s">
        <v>44</v>
      </c>
      <c r="I574" s="19" t="s">
        <v>20</v>
      </c>
      <c r="J574" s="1" t="s">
        <v>560</v>
      </c>
      <c r="K574" s="19">
        <v>3157</v>
      </c>
      <c r="L574" s="19">
        <v>37884</v>
      </c>
      <c r="M574" s="19">
        <v>5</v>
      </c>
      <c r="N574" s="19">
        <v>0</v>
      </c>
      <c r="O574" s="1">
        <v>0</v>
      </c>
      <c r="P574" s="19">
        <v>1</v>
      </c>
    </row>
    <row r="575" spans="1:16">
      <c r="A575" s="1">
        <v>574</v>
      </c>
      <c r="B575" s="1" t="s">
        <v>36</v>
      </c>
      <c r="C575" s="1" t="s">
        <v>782</v>
      </c>
      <c r="D575" s="1" t="str">
        <f>_xlfn.CONCAT(mmmm[[#This Row],[First Name]]," ",mmmm[[#This Row],[Last Name]])</f>
        <v>Muhamad Asamh</v>
      </c>
      <c r="E575" s="19" t="s">
        <v>18</v>
      </c>
      <c r="F575" s="11">
        <v>43166</v>
      </c>
      <c r="G575" s="19">
        <v>8</v>
      </c>
      <c r="H575" s="19" t="s">
        <v>44</v>
      </c>
      <c r="I575" s="19" t="s">
        <v>50</v>
      </c>
      <c r="J575" s="1" t="s">
        <v>62</v>
      </c>
      <c r="K575" s="19">
        <v>2519</v>
      </c>
      <c r="L575" s="19">
        <v>30228</v>
      </c>
      <c r="M575" s="19">
        <v>5</v>
      </c>
      <c r="N575" s="19">
        <v>2</v>
      </c>
      <c r="O575" s="1">
        <v>2</v>
      </c>
      <c r="P575" s="19">
        <v>10</v>
      </c>
    </row>
    <row r="576" spans="1:16">
      <c r="A576" s="1">
        <v>575</v>
      </c>
      <c r="B576" s="1" t="s">
        <v>61</v>
      </c>
      <c r="C576" s="1" t="s">
        <v>783</v>
      </c>
      <c r="D576" s="1" t="str">
        <f>_xlfn.CONCAT(mmmm[[#This Row],[First Name]]," ",mmmm[[#This Row],[Last Name]])</f>
        <v>Alaa Alyusif</v>
      </c>
      <c r="E576" s="19" t="s">
        <v>27</v>
      </c>
      <c r="F576" s="11">
        <v>43894</v>
      </c>
      <c r="G576" s="19">
        <v>6</v>
      </c>
      <c r="H576" s="19" t="s">
        <v>52</v>
      </c>
      <c r="I576" s="19" t="s">
        <v>32</v>
      </c>
      <c r="J576" s="1" t="s">
        <v>21</v>
      </c>
      <c r="K576" s="19">
        <v>3019</v>
      </c>
      <c r="L576" s="19">
        <v>36228</v>
      </c>
      <c r="M576" s="19">
        <v>4.5</v>
      </c>
      <c r="N576" s="19">
        <v>2</v>
      </c>
      <c r="O576" s="1">
        <v>0</v>
      </c>
      <c r="P576" s="19">
        <v>15</v>
      </c>
    </row>
    <row r="577" spans="1:16">
      <c r="A577" s="1">
        <v>576</v>
      </c>
      <c r="B577" s="1" t="s">
        <v>784</v>
      </c>
      <c r="C577" s="1" t="s">
        <v>785</v>
      </c>
      <c r="D577" s="1" t="str">
        <f>_xlfn.CONCAT(mmmm[[#This Row],[First Name]]," ",mmmm[[#This Row],[Last Name]])</f>
        <v>Asym Aleaqqad</v>
      </c>
      <c r="E577" s="19" t="s">
        <v>27</v>
      </c>
      <c r="F577" s="11">
        <v>43577</v>
      </c>
      <c r="G577" s="19">
        <v>7</v>
      </c>
      <c r="H577" s="19" t="s">
        <v>31</v>
      </c>
      <c r="I577" s="19" t="s">
        <v>32</v>
      </c>
      <c r="J577" s="1" t="s">
        <v>560</v>
      </c>
      <c r="K577" s="19">
        <v>3048</v>
      </c>
      <c r="L577" s="19">
        <v>36576</v>
      </c>
      <c r="M577" s="19">
        <v>2</v>
      </c>
      <c r="N577" s="19">
        <v>3</v>
      </c>
      <c r="O577" s="1">
        <v>6</v>
      </c>
      <c r="P577" s="19">
        <v>6</v>
      </c>
    </row>
    <row r="578" spans="1:16">
      <c r="A578" s="1">
        <v>577</v>
      </c>
      <c r="B578" s="1" t="s">
        <v>34</v>
      </c>
      <c r="C578" s="1" t="s">
        <v>786</v>
      </c>
      <c r="D578" s="1" t="str">
        <f>_xlfn.CONCAT(mmmm[[#This Row],[First Name]]," ",mmmm[[#This Row],[Last Name]])</f>
        <v>Ahmad Dahman</v>
      </c>
      <c r="E578" s="19" t="s">
        <v>18</v>
      </c>
      <c r="F578" s="11">
        <v>43811</v>
      </c>
      <c r="G578" s="19">
        <v>6</v>
      </c>
      <c r="H578" s="19" t="s">
        <v>31</v>
      </c>
      <c r="I578" s="19" t="s">
        <v>20</v>
      </c>
      <c r="J578" s="1" t="s">
        <v>21</v>
      </c>
      <c r="K578" s="19">
        <v>1523</v>
      </c>
      <c r="L578" s="19">
        <v>18276</v>
      </c>
      <c r="M578" s="19">
        <v>4.5</v>
      </c>
      <c r="N578" s="19">
        <v>0</v>
      </c>
      <c r="O578" s="1">
        <v>4</v>
      </c>
      <c r="P578" s="19">
        <v>2</v>
      </c>
    </row>
    <row r="579" spans="1:16">
      <c r="A579" s="1">
        <v>578</v>
      </c>
      <c r="B579" s="1" t="s">
        <v>787</v>
      </c>
      <c r="C579" s="1" t="s">
        <v>788</v>
      </c>
      <c r="D579" s="1" t="str">
        <f>_xlfn.CONCAT(mmmm[[#This Row],[First Name]]," ",mmmm[[#This Row],[Last Name]])</f>
        <v>Oqba Alqintar</v>
      </c>
      <c r="E579" s="19" t="s">
        <v>18</v>
      </c>
      <c r="F579" s="11">
        <v>43505</v>
      </c>
      <c r="G579" s="19">
        <v>7</v>
      </c>
      <c r="H579" s="19" t="s">
        <v>60</v>
      </c>
      <c r="I579" s="19" t="s">
        <v>20</v>
      </c>
      <c r="J579" s="1" t="s">
        <v>560</v>
      </c>
      <c r="K579" s="19">
        <v>2197</v>
      </c>
      <c r="L579" s="19">
        <v>26364</v>
      </c>
      <c r="M579" s="19">
        <v>1</v>
      </c>
      <c r="N579" s="19">
        <v>1</v>
      </c>
      <c r="O579" s="1">
        <v>0</v>
      </c>
      <c r="P579" s="19">
        <v>8</v>
      </c>
    </row>
    <row r="580" spans="1:16">
      <c r="A580" s="1">
        <v>579</v>
      </c>
      <c r="B580" s="1" t="s">
        <v>311</v>
      </c>
      <c r="C580" s="1" t="s">
        <v>789</v>
      </c>
      <c r="D580" s="1" t="str">
        <f>_xlfn.CONCAT(mmmm[[#This Row],[First Name]]," ",mmmm[[#This Row],[Last Name]])</f>
        <v>Rahaf Laylanaan</v>
      </c>
      <c r="E580" s="19" t="s">
        <v>27</v>
      </c>
      <c r="F580" s="11">
        <v>43556</v>
      </c>
      <c r="G580" s="19">
        <v>7</v>
      </c>
      <c r="H580" s="19" t="s">
        <v>38</v>
      </c>
      <c r="I580" s="19" t="s">
        <v>20</v>
      </c>
      <c r="J580" s="1" t="s">
        <v>33</v>
      </c>
      <c r="K580" s="19">
        <v>1870</v>
      </c>
      <c r="L580" s="19">
        <v>22440</v>
      </c>
      <c r="M580" s="19">
        <v>4.5</v>
      </c>
      <c r="N580" s="19">
        <v>0</v>
      </c>
      <c r="O580" s="1">
        <v>3</v>
      </c>
      <c r="P580" s="19">
        <v>15</v>
      </c>
    </row>
    <row r="581" spans="1:16">
      <c r="A581" s="1">
        <v>580</v>
      </c>
      <c r="B581" s="1" t="s">
        <v>36</v>
      </c>
      <c r="C581" s="1" t="s">
        <v>781</v>
      </c>
      <c r="D581" s="1" t="str">
        <f>_xlfn.CONCAT(mmmm[[#This Row],[First Name]]," ",mmmm[[#This Row],[Last Name]])</f>
        <v>Muhamad Rajab</v>
      </c>
      <c r="E581" s="19" t="s">
        <v>18</v>
      </c>
      <c r="F581" s="11">
        <v>43176</v>
      </c>
      <c r="G581" s="19">
        <v>8</v>
      </c>
      <c r="H581" s="19" t="s">
        <v>31</v>
      </c>
      <c r="I581" s="19" t="s">
        <v>32</v>
      </c>
      <c r="J581" s="1" t="s">
        <v>33</v>
      </c>
      <c r="K581" s="19">
        <v>1058</v>
      </c>
      <c r="L581" s="19">
        <v>12696</v>
      </c>
      <c r="M581" s="19">
        <v>5</v>
      </c>
      <c r="N581" s="19">
        <v>0</v>
      </c>
      <c r="O581" s="1">
        <v>0</v>
      </c>
      <c r="P581" s="19">
        <v>10</v>
      </c>
    </row>
    <row r="582" spans="1:16">
      <c r="A582" s="1">
        <v>581</v>
      </c>
      <c r="B582" s="1" t="s">
        <v>164</v>
      </c>
      <c r="C582" s="1" t="s">
        <v>790</v>
      </c>
      <c r="D582" s="1" t="str">
        <f>_xlfn.CONCAT(mmmm[[#This Row],[First Name]]," ",mmmm[[#This Row],[Last Name]])</f>
        <v>Ramadan Muhii Aldiyn</v>
      </c>
      <c r="E582" s="19" t="s">
        <v>18</v>
      </c>
      <c r="F582" s="11">
        <v>43741</v>
      </c>
      <c r="G582" s="19">
        <v>6</v>
      </c>
      <c r="H582" s="19" t="s">
        <v>42</v>
      </c>
      <c r="I582" s="19" t="s">
        <v>20</v>
      </c>
      <c r="J582" s="1" t="s">
        <v>62</v>
      </c>
      <c r="K582" s="19">
        <v>1257</v>
      </c>
      <c r="L582" s="19">
        <v>15084</v>
      </c>
      <c r="M582" s="19">
        <v>4.5</v>
      </c>
      <c r="N582" s="19">
        <v>1</v>
      </c>
      <c r="O582" s="1">
        <v>3</v>
      </c>
      <c r="P582" s="19">
        <v>2</v>
      </c>
    </row>
    <row r="583" spans="1:16">
      <c r="A583" s="1">
        <v>582</v>
      </c>
      <c r="B583" s="1" t="s">
        <v>791</v>
      </c>
      <c r="C583" s="1" t="s">
        <v>792</v>
      </c>
      <c r="D583" s="1" t="str">
        <f>_xlfn.CONCAT(mmmm[[#This Row],[First Name]]," ",mmmm[[#This Row],[Last Name]])</f>
        <v>Zaynab Eirat</v>
      </c>
      <c r="E583" s="19" t="s">
        <v>27</v>
      </c>
      <c r="F583" s="11">
        <v>43825</v>
      </c>
      <c r="G583" s="19">
        <v>6</v>
      </c>
      <c r="H583" s="19" t="s">
        <v>38</v>
      </c>
      <c r="I583" s="19" t="s">
        <v>32</v>
      </c>
      <c r="J583" s="1" t="s">
        <v>33</v>
      </c>
      <c r="K583" s="19">
        <v>819</v>
      </c>
      <c r="L583" s="19">
        <v>9828</v>
      </c>
      <c r="M583" s="19">
        <v>4.5</v>
      </c>
      <c r="N583" s="19">
        <v>5</v>
      </c>
      <c r="O583" s="1">
        <v>0</v>
      </c>
      <c r="P583" s="19">
        <v>7</v>
      </c>
    </row>
    <row r="584" spans="1:16">
      <c r="A584" s="1">
        <v>583</v>
      </c>
      <c r="B584" s="1" t="s">
        <v>209</v>
      </c>
      <c r="C584" s="1" t="s">
        <v>558</v>
      </c>
      <c r="D584" s="1" t="str">
        <f>_xlfn.CONCAT(mmmm[[#This Row],[First Name]]," ",mmmm[[#This Row],[Last Name]])</f>
        <v>Salah Aldiyn Altibae</v>
      </c>
      <c r="E584" s="19" t="s">
        <v>18</v>
      </c>
      <c r="F584" s="11">
        <v>43775</v>
      </c>
      <c r="G584" s="19">
        <v>6</v>
      </c>
      <c r="H584" s="19" t="s">
        <v>354</v>
      </c>
      <c r="I584" s="19" t="s">
        <v>32</v>
      </c>
      <c r="J584" s="1" t="s">
        <v>39</v>
      </c>
      <c r="K584" s="19">
        <v>3068</v>
      </c>
      <c r="L584" s="19">
        <v>36816</v>
      </c>
      <c r="M584" s="19">
        <v>2</v>
      </c>
      <c r="N584" s="19">
        <v>4</v>
      </c>
      <c r="O584" s="1">
        <v>0</v>
      </c>
      <c r="P584" s="19">
        <v>8</v>
      </c>
    </row>
    <row r="585" spans="1:16">
      <c r="A585" s="1">
        <v>584</v>
      </c>
      <c r="B585" s="1" t="s">
        <v>129</v>
      </c>
      <c r="C585" s="1" t="s">
        <v>793</v>
      </c>
      <c r="D585" s="1" t="str">
        <f>_xlfn.CONCAT(mmmm[[#This Row],[First Name]]," ",mmmm[[#This Row],[Last Name]])</f>
        <v>Faras Alghandur</v>
      </c>
      <c r="E585" s="19" t="s">
        <v>18</v>
      </c>
      <c r="F585" s="11">
        <v>43733</v>
      </c>
      <c r="G585" s="19">
        <v>6</v>
      </c>
      <c r="H585" s="19" t="s">
        <v>52</v>
      </c>
      <c r="I585" s="19" t="s">
        <v>50</v>
      </c>
      <c r="J585" s="1" t="s">
        <v>560</v>
      </c>
      <c r="K585" s="19">
        <v>1814</v>
      </c>
      <c r="L585" s="19">
        <v>21768</v>
      </c>
      <c r="M585" s="19">
        <v>3</v>
      </c>
      <c r="N585" s="19">
        <v>0</v>
      </c>
      <c r="O585" s="1">
        <v>0</v>
      </c>
      <c r="P585" s="19">
        <v>6</v>
      </c>
    </row>
    <row r="586" spans="1:16">
      <c r="A586" s="1">
        <v>585</v>
      </c>
      <c r="B586" s="1" t="s">
        <v>358</v>
      </c>
      <c r="C586" s="1" t="s">
        <v>794</v>
      </c>
      <c r="D586" s="1" t="str">
        <f>_xlfn.CONCAT(mmmm[[#This Row],[First Name]]," ",mmmm[[#This Row],[Last Name]])</f>
        <v>Husam Tamim</v>
      </c>
      <c r="E586" s="19" t="s">
        <v>18</v>
      </c>
      <c r="F586" s="11">
        <v>43605</v>
      </c>
      <c r="G586" s="19">
        <v>7</v>
      </c>
      <c r="H586" s="19" t="s">
        <v>19</v>
      </c>
      <c r="I586" s="19" t="s">
        <v>20</v>
      </c>
      <c r="J586" s="1" t="s">
        <v>560</v>
      </c>
      <c r="K586" s="19">
        <v>1076</v>
      </c>
      <c r="L586" s="19">
        <v>12912</v>
      </c>
      <c r="M586" s="19">
        <v>5</v>
      </c>
      <c r="N586" s="19">
        <v>1</v>
      </c>
      <c r="O586" s="1">
        <v>0</v>
      </c>
      <c r="P586" s="19">
        <v>4</v>
      </c>
    </row>
    <row r="587" spans="1:16">
      <c r="A587" s="1">
        <v>586</v>
      </c>
      <c r="B587" s="1" t="s">
        <v>795</v>
      </c>
      <c r="C587" s="1" t="s">
        <v>796</v>
      </c>
      <c r="D587" s="1" t="str">
        <f>_xlfn.CONCAT(mmmm[[#This Row],[First Name]]," ",mmmm[[#This Row],[Last Name]])</f>
        <v>Ayat Byd</v>
      </c>
      <c r="E587" s="19" t="s">
        <v>27</v>
      </c>
      <c r="F587" s="11">
        <v>42736</v>
      </c>
      <c r="G587" s="19">
        <v>9</v>
      </c>
      <c r="H587" s="19" t="s">
        <v>165</v>
      </c>
      <c r="I587" s="19" t="s">
        <v>20</v>
      </c>
      <c r="J587" s="1" t="s">
        <v>39</v>
      </c>
      <c r="K587" s="19">
        <v>3120</v>
      </c>
      <c r="L587" s="19">
        <v>37440</v>
      </c>
      <c r="M587" s="19">
        <v>3</v>
      </c>
      <c r="N587" s="19">
        <v>3</v>
      </c>
      <c r="O587" s="1">
        <v>0</v>
      </c>
      <c r="P587" s="19">
        <v>2</v>
      </c>
    </row>
    <row r="588" spans="1:16">
      <c r="A588" s="1">
        <v>587</v>
      </c>
      <c r="B588" s="1" t="s">
        <v>101</v>
      </c>
      <c r="C588" s="1" t="s">
        <v>797</v>
      </c>
      <c r="D588" s="1" t="str">
        <f>_xlfn.CONCAT(mmmm[[#This Row],[First Name]]," ",mmmm[[#This Row],[Last Name]])</f>
        <v>Rima Daly</v>
      </c>
      <c r="E588" s="19" t="s">
        <v>27</v>
      </c>
      <c r="F588" s="11">
        <v>44072</v>
      </c>
      <c r="G588" s="19">
        <v>5</v>
      </c>
      <c r="H588" s="19" t="s">
        <v>19</v>
      </c>
      <c r="I588" s="19" t="s">
        <v>20</v>
      </c>
      <c r="J588" s="1" t="s">
        <v>39</v>
      </c>
      <c r="K588" s="19">
        <v>1359</v>
      </c>
      <c r="L588" s="19">
        <v>16308</v>
      </c>
      <c r="M588" s="19">
        <v>2</v>
      </c>
      <c r="N588" s="19">
        <v>0</v>
      </c>
      <c r="O588" s="1">
        <v>0</v>
      </c>
      <c r="P588" s="19">
        <v>8</v>
      </c>
    </row>
    <row r="589" spans="1:16">
      <c r="A589" s="1">
        <v>588</v>
      </c>
      <c r="B589" s="1" t="s">
        <v>36</v>
      </c>
      <c r="C589" s="1" t="s">
        <v>798</v>
      </c>
      <c r="D589" s="1" t="str">
        <f>_xlfn.CONCAT(mmmm[[#This Row],[First Name]]," ",mmmm[[#This Row],[Last Name]])</f>
        <v>Muhamad Almunajid</v>
      </c>
      <c r="E589" s="19" t="s">
        <v>18</v>
      </c>
      <c r="F589" s="11">
        <v>43834</v>
      </c>
      <c r="G589" s="19">
        <v>6</v>
      </c>
      <c r="H589" s="19" t="s">
        <v>31</v>
      </c>
      <c r="I589" s="19" t="s">
        <v>20</v>
      </c>
      <c r="J589" s="1" t="s">
        <v>39</v>
      </c>
      <c r="K589" s="19">
        <v>3391</v>
      </c>
      <c r="L589" s="19">
        <v>40692</v>
      </c>
      <c r="M589" s="19">
        <v>1</v>
      </c>
      <c r="N589" s="19">
        <v>0</v>
      </c>
      <c r="O589" s="1">
        <v>3</v>
      </c>
      <c r="P589" s="19">
        <v>1</v>
      </c>
    </row>
    <row r="590" spans="1:16">
      <c r="A590" s="1">
        <v>589</v>
      </c>
      <c r="B590" s="1" t="s">
        <v>799</v>
      </c>
      <c r="C590" s="1" t="s">
        <v>36</v>
      </c>
      <c r="D590" s="1" t="str">
        <f>_xlfn.CONCAT(mmmm[[#This Row],[First Name]]," ",mmmm[[#This Row],[Last Name]])</f>
        <v>Eynas Muhamad</v>
      </c>
      <c r="E590" s="19" t="s">
        <v>27</v>
      </c>
      <c r="F590" s="11">
        <v>44054</v>
      </c>
      <c r="G590" s="19">
        <v>5</v>
      </c>
      <c r="H590" s="19" t="s">
        <v>52</v>
      </c>
      <c r="I590" s="19" t="s">
        <v>50</v>
      </c>
      <c r="J590" s="1" t="s">
        <v>33</v>
      </c>
      <c r="K590" s="19">
        <v>1892</v>
      </c>
      <c r="L590" s="19">
        <v>22704</v>
      </c>
      <c r="M590" s="19">
        <v>5</v>
      </c>
      <c r="N590" s="19">
        <v>0</v>
      </c>
      <c r="O590" s="1">
        <v>0</v>
      </c>
      <c r="P590" s="19">
        <v>6</v>
      </c>
    </row>
    <row r="591" spans="1:16">
      <c r="A591" s="1">
        <v>590</v>
      </c>
      <c r="B591" s="1" t="s">
        <v>34</v>
      </c>
      <c r="C591" s="1" t="s">
        <v>800</v>
      </c>
      <c r="D591" s="1" t="str">
        <f>_xlfn.CONCAT(mmmm[[#This Row],[First Name]]," ",mmmm[[#This Row],[Last Name]])</f>
        <v>Ahmad Ahmid</v>
      </c>
      <c r="E591" s="19" t="s">
        <v>18</v>
      </c>
      <c r="F591" s="11">
        <v>43884</v>
      </c>
      <c r="G591" s="19">
        <v>6</v>
      </c>
      <c r="H591" s="19" t="s">
        <v>31</v>
      </c>
      <c r="I591" s="19" t="s">
        <v>20</v>
      </c>
      <c r="J591" s="1" t="s">
        <v>21</v>
      </c>
      <c r="K591" s="19">
        <v>2639</v>
      </c>
      <c r="L591" s="19">
        <v>31668</v>
      </c>
      <c r="M591" s="19">
        <v>1</v>
      </c>
      <c r="N591" s="19">
        <v>1</v>
      </c>
      <c r="O591" s="1">
        <v>0</v>
      </c>
      <c r="P591" s="19">
        <v>3</v>
      </c>
    </row>
    <row r="592" spans="1:16">
      <c r="A592" s="1">
        <v>591</v>
      </c>
      <c r="B592" s="1" t="s">
        <v>335</v>
      </c>
      <c r="C592" s="1" t="s">
        <v>801</v>
      </c>
      <c r="D592" s="1" t="str">
        <f>_xlfn.CONCAT(mmmm[[#This Row],[First Name]]," ",mmmm[[#This Row],[Last Name]])</f>
        <v>Madlin Aljabaei</v>
      </c>
      <c r="E592" s="19" t="s">
        <v>27</v>
      </c>
      <c r="F592" s="11">
        <v>44039</v>
      </c>
      <c r="G592" s="19">
        <v>6</v>
      </c>
      <c r="H592" s="19" t="s">
        <v>55</v>
      </c>
      <c r="I592" s="19" t="s">
        <v>20</v>
      </c>
      <c r="J592" s="1" t="s">
        <v>39</v>
      </c>
      <c r="K592" s="19">
        <v>1580</v>
      </c>
      <c r="L592" s="19">
        <v>18960</v>
      </c>
      <c r="M592" s="19">
        <v>5</v>
      </c>
      <c r="N592" s="19">
        <v>2</v>
      </c>
      <c r="O592" s="1">
        <v>5</v>
      </c>
      <c r="P592" s="19">
        <v>6</v>
      </c>
    </row>
    <row r="593" spans="1:16">
      <c r="A593" s="1">
        <v>592</v>
      </c>
      <c r="B593" s="1" t="s">
        <v>188</v>
      </c>
      <c r="C593" s="1" t="s">
        <v>802</v>
      </c>
      <c r="D593" s="1" t="str">
        <f>_xlfn.CONCAT(mmmm[[#This Row],[First Name]]," ",mmmm[[#This Row],[Last Name]])</f>
        <v>Ali Alqadri</v>
      </c>
      <c r="E593" s="19" t="s">
        <v>18</v>
      </c>
      <c r="F593" s="11">
        <v>43692</v>
      </c>
      <c r="G593" s="19">
        <v>6</v>
      </c>
      <c r="H593" s="19" t="s">
        <v>19</v>
      </c>
      <c r="I593" s="19" t="s">
        <v>20</v>
      </c>
      <c r="J593" s="1" t="s">
        <v>39</v>
      </c>
      <c r="K593" s="19">
        <v>2186</v>
      </c>
      <c r="L593" s="19">
        <v>26232</v>
      </c>
      <c r="M593" s="19">
        <v>3</v>
      </c>
      <c r="N593" s="19">
        <v>0</v>
      </c>
      <c r="O593" s="1">
        <v>0</v>
      </c>
      <c r="P593" s="19">
        <v>4</v>
      </c>
    </row>
    <row r="594" spans="1:16">
      <c r="A594" s="1">
        <v>593</v>
      </c>
      <c r="B594" s="1" t="s">
        <v>36</v>
      </c>
      <c r="C594" s="1" t="s">
        <v>723</v>
      </c>
      <c r="D594" s="1" t="str">
        <f>_xlfn.CONCAT(mmmm[[#This Row],[First Name]]," ",mmmm[[#This Row],[Last Name]])</f>
        <v>Muhamad Dib</v>
      </c>
      <c r="E594" s="19" t="s">
        <v>18</v>
      </c>
      <c r="F594" s="11">
        <v>43684</v>
      </c>
      <c r="G594" s="19">
        <v>6</v>
      </c>
      <c r="H594" s="19" t="s">
        <v>55</v>
      </c>
      <c r="I594" s="19" t="s">
        <v>32</v>
      </c>
      <c r="J594" s="1" t="s">
        <v>21</v>
      </c>
      <c r="K594" s="19">
        <v>1574</v>
      </c>
      <c r="L594" s="19">
        <v>18888</v>
      </c>
      <c r="M594" s="19">
        <v>2</v>
      </c>
      <c r="N594" s="19">
        <v>0</v>
      </c>
      <c r="O594" s="1">
        <v>0</v>
      </c>
      <c r="P594" s="19">
        <v>6</v>
      </c>
    </row>
    <row r="595" spans="1:16">
      <c r="A595" s="1">
        <v>594</v>
      </c>
      <c r="B595" s="1" t="s">
        <v>720</v>
      </c>
      <c r="C595" s="1" t="s">
        <v>803</v>
      </c>
      <c r="D595" s="1" t="str">
        <f>_xlfn.CONCAT(mmmm[[#This Row],[First Name]]," ",mmmm[[#This Row],[Last Name]])</f>
        <v>Hanan Bradiei</v>
      </c>
      <c r="E595" s="19" t="s">
        <v>27</v>
      </c>
      <c r="F595" s="11">
        <v>43154</v>
      </c>
      <c r="G595" s="19">
        <v>8</v>
      </c>
      <c r="H595" s="19" t="s">
        <v>44</v>
      </c>
      <c r="I595" s="19" t="s">
        <v>24</v>
      </c>
      <c r="J595" s="1" t="s">
        <v>39</v>
      </c>
      <c r="K595" s="19">
        <v>2013</v>
      </c>
      <c r="L595" s="19">
        <v>24156</v>
      </c>
      <c r="M595" s="19">
        <v>4.5</v>
      </c>
      <c r="N595" s="19">
        <v>6</v>
      </c>
      <c r="O595" s="1">
        <v>0</v>
      </c>
      <c r="P595" s="19">
        <v>8</v>
      </c>
    </row>
    <row r="596" spans="1:16">
      <c r="A596" s="1">
        <v>595</v>
      </c>
      <c r="B596" s="1" t="s">
        <v>420</v>
      </c>
      <c r="C596" s="1" t="s">
        <v>804</v>
      </c>
      <c r="D596" s="1" t="str">
        <f>_xlfn.CONCAT(mmmm[[#This Row],[First Name]]," ",mmmm[[#This Row],[Last Name]])</f>
        <v>Danah Suirkili</v>
      </c>
      <c r="E596" s="19" t="s">
        <v>27</v>
      </c>
      <c r="F596" s="11">
        <v>43835</v>
      </c>
      <c r="G596" s="19">
        <v>6</v>
      </c>
      <c r="H596" s="19" t="s">
        <v>52</v>
      </c>
      <c r="I596" s="19" t="s">
        <v>20</v>
      </c>
      <c r="J596" s="1" t="s">
        <v>39</v>
      </c>
      <c r="K596" s="19">
        <v>2075</v>
      </c>
      <c r="L596" s="19">
        <v>24900</v>
      </c>
      <c r="M596" s="19">
        <v>2</v>
      </c>
      <c r="N596" s="19">
        <v>0</v>
      </c>
      <c r="O596" s="1">
        <v>0</v>
      </c>
      <c r="P596" s="19">
        <v>5</v>
      </c>
    </row>
    <row r="597" spans="1:16">
      <c r="A597" s="1">
        <v>596</v>
      </c>
      <c r="B597" s="1" t="s">
        <v>124</v>
      </c>
      <c r="C597" s="1" t="s">
        <v>805</v>
      </c>
      <c r="D597" s="1" t="str">
        <f>_xlfn.CONCAT(mmmm[[#This Row],[First Name]]," ",mmmm[[#This Row],[Last Name]])</f>
        <v>Ghada Darakal</v>
      </c>
      <c r="E597" s="19" t="s">
        <v>27</v>
      </c>
      <c r="F597" s="11">
        <v>43225</v>
      </c>
      <c r="G597" s="19">
        <v>8</v>
      </c>
      <c r="H597" s="19" t="s">
        <v>31</v>
      </c>
      <c r="I597" s="19" t="s">
        <v>20</v>
      </c>
      <c r="J597" s="1" t="s">
        <v>39</v>
      </c>
      <c r="K597" s="19">
        <v>1372</v>
      </c>
      <c r="L597" s="19">
        <v>16464</v>
      </c>
      <c r="M597" s="19">
        <v>1</v>
      </c>
      <c r="N597" s="19">
        <v>0</v>
      </c>
      <c r="O597" s="1">
        <v>3</v>
      </c>
      <c r="P597" s="19">
        <v>2</v>
      </c>
    </row>
    <row r="598" spans="1:16">
      <c r="A598" s="1">
        <v>597</v>
      </c>
      <c r="B598" s="1" t="s">
        <v>172</v>
      </c>
      <c r="C598" s="1" t="s">
        <v>806</v>
      </c>
      <c r="D598" s="1" t="str">
        <f>_xlfn.CONCAT(mmmm[[#This Row],[First Name]]," ",mmmm[[#This Row],[Last Name]])</f>
        <v>Mazin Bihtiti</v>
      </c>
      <c r="E598" s="19" t="s">
        <v>18</v>
      </c>
      <c r="F598" s="11">
        <v>43315</v>
      </c>
      <c r="G598" s="19">
        <v>8</v>
      </c>
      <c r="H598" s="19" t="s">
        <v>55</v>
      </c>
      <c r="I598" s="19" t="s">
        <v>20</v>
      </c>
      <c r="J598" s="1" t="s">
        <v>33</v>
      </c>
      <c r="K598" s="19">
        <v>2026</v>
      </c>
      <c r="L598" s="19">
        <v>24312</v>
      </c>
      <c r="M598" s="19">
        <v>4.5</v>
      </c>
      <c r="N598" s="19">
        <v>0</v>
      </c>
      <c r="O598" s="1">
        <v>0</v>
      </c>
      <c r="P598" s="19">
        <v>7</v>
      </c>
    </row>
    <row r="599" spans="1:16">
      <c r="A599" s="1">
        <v>598</v>
      </c>
      <c r="B599" s="1" t="s">
        <v>807</v>
      </c>
      <c r="C599" s="1" t="s">
        <v>808</v>
      </c>
      <c r="D599" s="1" t="str">
        <f>_xlfn.CONCAT(mmmm[[#This Row],[First Name]]," ",mmmm[[#This Row],[Last Name]])</f>
        <v>Ridwan Alshulyan</v>
      </c>
      <c r="E599" s="19" t="s">
        <v>18</v>
      </c>
      <c r="F599" s="11">
        <v>42854</v>
      </c>
      <c r="G599" s="19">
        <v>9</v>
      </c>
      <c r="H599" s="19" t="s">
        <v>31</v>
      </c>
      <c r="I599" s="19" t="s">
        <v>32</v>
      </c>
      <c r="J599" s="1" t="s">
        <v>39</v>
      </c>
      <c r="K599" s="19">
        <v>1351</v>
      </c>
      <c r="L599" s="19">
        <v>16212</v>
      </c>
      <c r="M599" s="19">
        <v>2</v>
      </c>
      <c r="N599" s="19">
        <v>0</v>
      </c>
      <c r="O599" s="1">
        <v>0</v>
      </c>
      <c r="P599" s="19">
        <v>8</v>
      </c>
    </row>
    <row r="600" spans="1:16">
      <c r="A600" s="1">
        <v>599</v>
      </c>
      <c r="B600" s="1" t="s">
        <v>188</v>
      </c>
      <c r="C600" s="1" t="s">
        <v>809</v>
      </c>
      <c r="D600" s="1" t="str">
        <f>_xlfn.CONCAT(mmmm[[#This Row],[First Name]]," ",mmmm[[#This Row],[Last Name]])</f>
        <v>Ali Barghaly</v>
      </c>
      <c r="E600" s="19" t="s">
        <v>18</v>
      </c>
      <c r="F600" s="11">
        <v>42884</v>
      </c>
      <c r="G600" s="19">
        <v>9</v>
      </c>
      <c r="H600" s="19" t="s">
        <v>19</v>
      </c>
      <c r="I600" s="19" t="s">
        <v>20</v>
      </c>
      <c r="J600" s="1" t="s">
        <v>21</v>
      </c>
      <c r="K600" s="19">
        <v>1111</v>
      </c>
      <c r="L600" s="19">
        <v>13332</v>
      </c>
      <c r="M600" s="19">
        <v>1</v>
      </c>
      <c r="N600" s="19">
        <v>3</v>
      </c>
      <c r="O600" s="1">
        <v>0</v>
      </c>
      <c r="P600" s="19">
        <v>6</v>
      </c>
    </row>
    <row r="601" spans="1:16">
      <c r="A601" s="1">
        <v>600</v>
      </c>
      <c r="B601" s="1" t="s">
        <v>51</v>
      </c>
      <c r="C601" s="1" t="s">
        <v>810</v>
      </c>
      <c r="D601" s="1" t="str">
        <f>_xlfn.CONCAT(mmmm[[#This Row],[First Name]]," ",mmmm[[#This Row],[Last Name]])</f>
        <v>Iad Badran</v>
      </c>
      <c r="E601" s="19" t="s">
        <v>18</v>
      </c>
      <c r="F601" s="11">
        <v>44016</v>
      </c>
      <c r="G601" s="19">
        <v>6</v>
      </c>
      <c r="H601" s="19" t="s">
        <v>19</v>
      </c>
      <c r="I601" s="19" t="s">
        <v>20</v>
      </c>
      <c r="J601" s="1" t="s">
        <v>39</v>
      </c>
      <c r="K601" s="19">
        <v>1554</v>
      </c>
      <c r="L601" s="19">
        <v>18648</v>
      </c>
      <c r="M601" s="19">
        <v>5</v>
      </c>
      <c r="N601" s="19">
        <v>6</v>
      </c>
      <c r="O601" s="1">
        <v>5</v>
      </c>
      <c r="P601" s="19">
        <v>8</v>
      </c>
    </row>
    <row r="602" spans="1:16">
      <c r="A602" s="1">
        <v>601</v>
      </c>
      <c r="B602" s="1" t="s">
        <v>686</v>
      </c>
      <c r="C602" s="1" t="s">
        <v>811</v>
      </c>
      <c r="D602" s="1" t="str">
        <f>_xlfn.CONCAT(mmmm[[#This Row],[First Name]]," ",mmmm[[#This Row],[Last Name]])</f>
        <v>Abdalrhmin Shwk</v>
      </c>
      <c r="E602" s="19" t="s">
        <v>18</v>
      </c>
      <c r="F602" s="11">
        <v>43758</v>
      </c>
      <c r="G602" s="19">
        <v>6</v>
      </c>
      <c r="H602" s="19" t="s">
        <v>79</v>
      </c>
      <c r="I602" s="19" t="s">
        <v>24</v>
      </c>
      <c r="J602" s="1" t="s">
        <v>21</v>
      </c>
      <c r="K602" s="19">
        <v>3057</v>
      </c>
      <c r="L602" s="19">
        <v>36684</v>
      </c>
      <c r="M602" s="19">
        <v>5</v>
      </c>
      <c r="N602" s="19">
        <v>0</v>
      </c>
      <c r="O602" s="1">
        <v>0</v>
      </c>
      <c r="P602" s="19">
        <v>0</v>
      </c>
    </row>
    <row r="603" spans="1:16">
      <c r="A603" s="1">
        <v>602</v>
      </c>
      <c r="B603" s="1" t="s">
        <v>358</v>
      </c>
      <c r="C603" s="1" t="s">
        <v>812</v>
      </c>
      <c r="D603" s="1" t="str">
        <f>_xlfn.CONCAT(mmmm[[#This Row],[First Name]]," ",mmmm[[#This Row],[Last Name]])</f>
        <v>Husam Aldiyn</v>
      </c>
      <c r="E603" s="19" t="s">
        <v>18</v>
      </c>
      <c r="F603" s="11">
        <v>43453</v>
      </c>
      <c r="G603" s="19">
        <v>7</v>
      </c>
      <c r="H603" s="19" t="s">
        <v>52</v>
      </c>
      <c r="I603" s="19" t="s">
        <v>24</v>
      </c>
      <c r="J603" s="1" t="s">
        <v>62</v>
      </c>
      <c r="K603" s="19">
        <v>1733</v>
      </c>
      <c r="L603" s="19">
        <v>20796</v>
      </c>
      <c r="M603" s="19">
        <v>3</v>
      </c>
      <c r="N603" s="19">
        <v>0</v>
      </c>
      <c r="O603" s="1">
        <v>0</v>
      </c>
      <c r="P603" s="19">
        <v>3</v>
      </c>
    </row>
    <row r="604" spans="1:16">
      <c r="A604" s="1">
        <v>603</v>
      </c>
      <c r="B604" s="1" t="s">
        <v>34</v>
      </c>
      <c r="C604" s="1" t="s">
        <v>813</v>
      </c>
      <c r="D604" s="1" t="str">
        <f>_xlfn.CONCAT(mmmm[[#This Row],[First Name]]," ",mmmm[[#This Row],[Last Name]])</f>
        <v>Ahmad Hamuwdatan</v>
      </c>
      <c r="E604" s="19" t="s">
        <v>18</v>
      </c>
      <c r="F604" s="11">
        <v>42393</v>
      </c>
      <c r="G604" s="19">
        <v>10</v>
      </c>
      <c r="H604" s="19" t="s">
        <v>165</v>
      </c>
      <c r="I604" s="19" t="s">
        <v>20</v>
      </c>
      <c r="J604" s="1" t="s">
        <v>33</v>
      </c>
      <c r="K604" s="19">
        <v>1511</v>
      </c>
      <c r="L604" s="19">
        <v>18132</v>
      </c>
      <c r="M604" s="19">
        <v>5</v>
      </c>
      <c r="N604" s="19">
        <v>0</v>
      </c>
      <c r="O604" s="1">
        <v>0</v>
      </c>
      <c r="P604" s="19">
        <v>2</v>
      </c>
    </row>
    <row r="605" spans="1:16">
      <c r="A605" s="1">
        <v>604</v>
      </c>
      <c r="B605" s="1" t="s">
        <v>34</v>
      </c>
      <c r="C605" s="1" t="s">
        <v>115</v>
      </c>
      <c r="D605" s="1" t="str">
        <f>_xlfn.CONCAT(mmmm[[#This Row],[First Name]]," ",mmmm[[#This Row],[Last Name]])</f>
        <v>Ahmad Laylana</v>
      </c>
      <c r="E605" s="19" t="s">
        <v>18</v>
      </c>
      <c r="F605" s="11">
        <v>42737</v>
      </c>
      <c r="G605" s="19">
        <v>9</v>
      </c>
      <c r="H605" s="19" t="s">
        <v>42</v>
      </c>
      <c r="I605" s="19" t="s">
        <v>20</v>
      </c>
      <c r="J605" s="1" t="s">
        <v>33</v>
      </c>
      <c r="K605" s="19">
        <v>2542</v>
      </c>
      <c r="L605" s="19">
        <v>30504</v>
      </c>
      <c r="M605" s="19">
        <v>5</v>
      </c>
      <c r="N605" s="19">
        <v>0</v>
      </c>
      <c r="O605" s="1">
        <v>6</v>
      </c>
      <c r="P605" s="19">
        <v>6</v>
      </c>
    </row>
    <row r="606" spans="1:16">
      <c r="A606" s="1">
        <v>605</v>
      </c>
      <c r="B606" s="1" t="s">
        <v>814</v>
      </c>
      <c r="C606" s="1" t="s">
        <v>687</v>
      </c>
      <c r="D606" s="1" t="str">
        <f>_xlfn.CONCAT(mmmm[[#This Row],[First Name]]," ",mmmm[[#This Row],[Last Name]])</f>
        <v>Shuruq Aljuju</v>
      </c>
      <c r="E606" s="19" t="s">
        <v>27</v>
      </c>
      <c r="F606" s="11">
        <v>43830</v>
      </c>
      <c r="G606" s="19">
        <v>6</v>
      </c>
      <c r="H606" s="19" t="s">
        <v>19</v>
      </c>
      <c r="I606" s="19" t="s">
        <v>20</v>
      </c>
      <c r="J606" s="1" t="s">
        <v>39</v>
      </c>
      <c r="K606" s="19">
        <v>1573</v>
      </c>
      <c r="L606" s="19">
        <v>18876</v>
      </c>
      <c r="M606" s="19">
        <v>1</v>
      </c>
      <c r="N606" s="19">
        <v>2</v>
      </c>
      <c r="O606" s="1">
        <v>0</v>
      </c>
      <c r="P606" s="19">
        <v>3</v>
      </c>
    </row>
    <row r="607" spans="1:16">
      <c r="A607" s="1">
        <v>606</v>
      </c>
      <c r="B607" s="1" t="s">
        <v>36</v>
      </c>
      <c r="C607" s="1" t="s">
        <v>815</v>
      </c>
      <c r="D607" s="1" t="str">
        <f>_xlfn.CONCAT(mmmm[[#This Row],[First Name]]," ",mmmm[[#This Row],[Last Name]])</f>
        <v>Muhamad Alshahrur</v>
      </c>
      <c r="E607" s="19" t="s">
        <v>18</v>
      </c>
      <c r="F607" s="11">
        <v>43010</v>
      </c>
      <c r="G607" s="19">
        <v>8</v>
      </c>
      <c r="H607" s="19" t="s">
        <v>31</v>
      </c>
      <c r="I607" s="19" t="s">
        <v>50</v>
      </c>
      <c r="J607" s="1" t="s">
        <v>33</v>
      </c>
      <c r="K607" s="19">
        <v>2604</v>
      </c>
      <c r="L607" s="19">
        <v>31248</v>
      </c>
      <c r="M607" s="19">
        <v>3</v>
      </c>
      <c r="N607" s="19">
        <v>0</v>
      </c>
      <c r="O607" s="1">
        <v>0</v>
      </c>
      <c r="P607" s="19">
        <v>1</v>
      </c>
    </row>
    <row r="608" spans="1:16">
      <c r="A608" s="1">
        <v>607</v>
      </c>
      <c r="B608" s="1" t="s">
        <v>816</v>
      </c>
      <c r="C608" s="1" t="s">
        <v>817</v>
      </c>
      <c r="D608" s="1" t="str">
        <f>_xlfn.CONCAT(mmmm[[#This Row],[First Name]]," ",mmmm[[#This Row],[Last Name]])</f>
        <v>Rafif Khalf</v>
      </c>
      <c r="E608" s="19" t="s">
        <v>27</v>
      </c>
      <c r="F608" s="11">
        <v>43592</v>
      </c>
      <c r="G608" s="19">
        <v>7</v>
      </c>
      <c r="H608" s="19" t="s">
        <v>79</v>
      </c>
      <c r="I608" s="19" t="s">
        <v>50</v>
      </c>
      <c r="J608" s="1" t="s">
        <v>21</v>
      </c>
      <c r="K608" s="19">
        <v>3152</v>
      </c>
      <c r="L608" s="19">
        <v>37824</v>
      </c>
      <c r="M608" s="19">
        <v>5</v>
      </c>
      <c r="N608" s="19">
        <v>0</v>
      </c>
      <c r="O608" s="1">
        <v>0</v>
      </c>
      <c r="P608" s="19">
        <v>8</v>
      </c>
    </row>
    <row r="609" spans="1:16">
      <c r="A609" s="1">
        <v>608</v>
      </c>
      <c r="B609" s="1" t="s">
        <v>36</v>
      </c>
      <c r="C609" s="1" t="s">
        <v>169</v>
      </c>
      <c r="D609" s="1" t="str">
        <f>_xlfn.CONCAT(mmmm[[#This Row],[First Name]]," ",mmmm[[#This Row],[Last Name]])</f>
        <v>Muhamad Alkhatib</v>
      </c>
      <c r="E609" s="19" t="s">
        <v>18</v>
      </c>
      <c r="F609" s="11">
        <v>44097</v>
      </c>
      <c r="G609" s="19">
        <v>5</v>
      </c>
      <c r="H609" s="19" t="s">
        <v>44</v>
      </c>
      <c r="I609" s="19" t="s">
        <v>32</v>
      </c>
      <c r="J609" s="1" t="s">
        <v>560</v>
      </c>
      <c r="K609" s="19">
        <v>2655</v>
      </c>
      <c r="L609" s="19">
        <v>31860</v>
      </c>
      <c r="M609" s="19">
        <v>5</v>
      </c>
      <c r="N609" s="19">
        <v>0</v>
      </c>
      <c r="O609" s="1">
        <v>0</v>
      </c>
      <c r="P609" s="19">
        <v>6</v>
      </c>
    </row>
    <row r="610" spans="1:16">
      <c r="A610" s="1">
        <v>609</v>
      </c>
      <c r="B610" s="1" t="s">
        <v>36</v>
      </c>
      <c r="C610" s="1" t="s">
        <v>818</v>
      </c>
      <c r="D610" s="1" t="str">
        <f>_xlfn.CONCAT(mmmm[[#This Row],[First Name]]," ",mmmm[[#This Row],[Last Name]])</f>
        <v>Muhamad Albarnawi</v>
      </c>
      <c r="E610" s="19" t="s">
        <v>18</v>
      </c>
      <c r="F610" s="11">
        <v>42412</v>
      </c>
      <c r="G610" s="19">
        <v>10</v>
      </c>
      <c r="H610" s="19" t="s">
        <v>75</v>
      </c>
      <c r="I610" s="19" t="s">
        <v>20</v>
      </c>
      <c r="J610" s="1" t="s">
        <v>62</v>
      </c>
      <c r="K610" s="19">
        <v>1405</v>
      </c>
      <c r="L610" s="19">
        <v>16860</v>
      </c>
      <c r="M610" s="19">
        <v>5</v>
      </c>
      <c r="N610" s="19">
        <v>6</v>
      </c>
      <c r="O610" s="1">
        <v>0</v>
      </c>
      <c r="P610" s="19">
        <v>10</v>
      </c>
    </row>
    <row r="611" spans="1:16">
      <c r="A611" s="1">
        <v>610</v>
      </c>
      <c r="B611" s="1" t="s">
        <v>188</v>
      </c>
      <c r="C611" s="1" t="s">
        <v>819</v>
      </c>
      <c r="D611" s="1" t="str">
        <f>_xlfn.CONCAT(mmmm[[#This Row],[First Name]]," ",mmmm[[#This Row],[Last Name]])</f>
        <v>Ali Almiqdad</v>
      </c>
      <c r="E611" s="19" t="s">
        <v>18</v>
      </c>
      <c r="F611" s="11">
        <v>43234</v>
      </c>
      <c r="G611" s="19">
        <v>8</v>
      </c>
      <c r="H611" s="19" t="s">
        <v>31</v>
      </c>
      <c r="I611" s="19" t="s">
        <v>20</v>
      </c>
      <c r="J611" s="1" t="s">
        <v>39</v>
      </c>
      <c r="K611" s="19">
        <v>3100</v>
      </c>
      <c r="L611" s="19">
        <v>37200</v>
      </c>
      <c r="M611" s="19">
        <v>5</v>
      </c>
      <c r="N611" s="19">
        <v>0</v>
      </c>
      <c r="O611" s="1">
        <v>0</v>
      </c>
      <c r="P611" s="19">
        <v>7</v>
      </c>
    </row>
    <row r="612" spans="1:16">
      <c r="A612" s="1">
        <v>611</v>
      </c>
      <c r="B612" s="1" t="s">
        <v>208</v>
      </c>
      <c r="C612" s="1" t="s">
        <v>820</v>
      </c>
      <c r="D612" s="1" t="str">
        <f>_xlfn.CONCAT(mmmm[[#This Row],[First Name]]," ",mmmm[[#This Row],[Last Name]])</f>
        <v>Ranya Faris</v>
      </c>
      <c r="E612" s="19" t="s">
        <v>27</v>
      </c>
      <c r="F612" s="11">
        <v>42947</v>
      </c>
      <c r="G612" s="19">
        <v>9</v>
      </c>
      <c r="H612" s="19" t="s">
        <v>31</v>
      </c>
      <c r="I612" s="19" t="s">
        <v>32</v>
      </c>
      <c r="J612" s="1" t="s">
        <v>560</v>
      </c>
      <c r="K612" s="19">
        <v>2729</v>
      </c>
      <c r="L612" s="19">
        <v>32748</v>
      </c>
      <c r="M612" s="19">
        <v>4.5</v>
      </c>
      <c r="N612" s="19">
        <v>0</v>
      </c>
      <c r="O612" s="1">
        <v>0</v>
      </c>
      <c r="P612" s="19">
        <v>6</v>
      </c>
    </row>
    <row r="613" spans="1:16">
      <c r="A613" s="1">
        <v>612</v>
      </c>
      <c r="B613" s="1" t="s">
        <v>188</v>
      </c>
      <c r="C613" s="1" t="s">
        <v>351</v>
      </c>
      <c r="D613" s="1" t="str">
        <f>_xlfn.CONCAT(mmmm[[#This Row],[First Name]]," ",mmmm[[#This Row],[Last Name]])</f>
        <v>Ali Alshaykh</v>
      </c>
      <c r="E613" s="19" t="s">
        <v>18</v>
      </c>
      <c r="F613" s="11">
        <v>43290</v>
      </c>
      <c r="G613" s="19">
        <v>8</v>
      </c>
      <c r="H613" s="19" t="s">
        <v>60</v>
      </c>
      <c r="I613" s="19" t="s">
        <v>20</v>
      </c>
      <c r="J613" s="1" t="s">
        <v>33</v>
      </c>
      <c r="K613" s="19">
        <v>1467</v>
      </c>
      <c r="L613" s="19">
        <v>17604</v>
      </c>
      <c r="M613" s="19">
        <v>5</v>
      </c>
      <c r="N613" s="19">
        <v>0</v>
      </c>
      <c r="O613" s="1">
        <v>0</v>
      </c>
      <c r="P613" s="19">
        <v>7</v>
      </c>
    </row>
    <row r="614" spans="1:16">
      <c r="A614" s="1">
        <v>613</v>
      </c>
      <c r="B614" s="1" t="s">
        <v>40</v>
      </c>
      <c r="C614" s="1" t="s">
        <v>821</v>
      </c>
      <c r="D614" s="1" t="str">
        <f>_xlfn.CONCAT(mmmm[[#This Row],[First Name]]," ",mmmm[[#This Row],[Last Name]])</f>
        <v>Iin Kafa</v>
      </c>
      <c r="E614" s="19" t="s">
        <v>27</v>
      </c>
      <c r="F614" s="11">
        <v>42791</v>
      </c>
      <c r="G614" s="19">
        <v>9</v>
      </c>
      <c r="H614" s="19" t="s">
        <v>31</v>
      </c>
      <c r="I614" s="19" t="s">
        <v>24</v>
      </c>
      <c r="J614" s="1" t="s">
        <v>33</v>
      </c>
      <c r="K614" s="19">
        <v>1612</v>
      </c>
      <c r="L614" s="19">
        <v>19344</v>
      </c>
      <c r="M614" s="19">
        <v>5</v>
      </c>
      <c r="N614" s="19">
        <v>0</v>
      </c>
      <c r="O614" s="1">
        <v>0</v>
      </c>
      <c r="P614" s="19">
        <v>4</v>
      </c>
    </row>
    <row r="615" spans="1:16">
      <c r="A615" s="1">
        <v>614</v>
      </c>
      <c r="B615" s="1" t="s">
        <v>36</v>
      </c>
      <c r="C615" s="1" t="s">
        <v>822</v>
      </c>
      <c r="D615" s="1" t="str">
        <f>_xlfn.CONCAT(mmmm[[#This Row],[First Name]]," ",mmmm[[#This Row],[Last Name]])</f>
        <v>Muhamad Almaghribi</v>
      </c>
      <c r="E615" s="19" t="s">
        <v>18</v>
      </c>
      <c r="F615" s="11">
        <v>43574</v>
      </c>
      <c r="G615" s="19">
        <v>7</v>
      </c>
      <c r="H615" s="19" t="s">
        <v>19</v>
      </c>
      <c r="I615" s="19" t="s">
        <v>20</v>
      </c>
      <c r="J615" s="1" t="s">
        <v>33</v>
      </c>
      <c r="K615" s="19">
        <v>2901</v>
      </c>
      <c r="L615" s="19">
        <v>34812</v>
      </c>
      <c r="M615" s="19">
        <v>5</v>
      </c>
      <c r="N615" s="19">
        <v>0</v>
      </c>
      <c r="O615" s="1">
        <v>0</v>
      </c>
      <c r="P615" s="19">
        <v>6</v>
      </c>
    </row>
    <row r="616" spans="1:16">
      <c r="A616" s="1">
        <v>615</v>
      </c>
      <c r="B616" s="1" t="s">
        <v>118</v>
      </c>
      <c r="C616" s="1" t="s">
        <v>823</v>
      </c>
      <c r="D616" s="1" t="str">
        <f>_xlfn.CONCAT(mmmm[[#This Row],[First Name]]," ",mmmm[[#This Row],[Last Name]])</f>
        <v>Sami Aldrwysh</v>
      </c>
      <c r="E616" s="19" t="s">
        <v>18</v>
      </c>
      <c r="F616" s="11">
        <v>42952</v>
      </c>
      <c r="G616" s="19">
        <v>9</v>
      </c>
      <c r="H616" s="19" t="s">
        <v>165</v>
      </c>
      <c r="I616" s="19" t="s">
        <v>20</v>
      </c>
      <c r="J616" s="1" t="s">
        <v>33</v>
      </c>
      <c r="K616" s="19">
        <v>1999</v>
      </c>
      <c r="L616" s="19">
        <v>23988</v>
      </c>
      <c r="M616" s="19">
        <v>3</v>
      </c>
      <c r="N616" s="19">
        <v>0</v>
      </c>
      <c r="O616" s="1">
        <v>0</v>
      </c>
      <c r="P616" s="19">
        <v>4</v>
      </c>
    </row>
    <row r="617" spans="1:16">
      <c r="A617" s="1">
        <v>616</v>
      </c>
      <c r="B617" s="1" t="s">
        <v>186</v>
      </c>
      <c r="C617" s="1" t="s">
        <v>169</v>
      </c>
      <c r="D617" s="1" t="str">
        <f>_xlfn.CONCAT(mmmm[[#This Row],[First Name]]," ",mmmm[[#This Row],[Last Name]])</f>
        <v>Samah Alkhatib</v>
      </c>
      <c r="E617" s="19" t="s">
        <v>27</v>
      </c>
      <c r="F617" s="11">
        <v>43239</v>
      </c>
      <c r="G617" s="19">
        <v>8</v>
      </c>
      <c r="H617" s="19" t="s">
        <v>44</v>
      </c>
      <c r="I617" s="19" t="s">
        <v>24</v>
      </c>
      <c r="J617" s="1" t="s">
        <v>39</v>
      </c>
      <c r="K617" s="19">
        <v>705</v>
      </c>
      <c r="L617" s="19">
        <v>8460</v>
      </c>
      <c r="M617" s="19">
        <v>3</v>
      </c>
      <c r="N617" s="19">
        <v>6</v>
      </c>
      <c r="O617" s="1">
        <v>0</v>
      </c>
      <c r="P617" s="19">
        <v>8</v>
      </c>
    </row>
    <row r="618" spans="1:16">
      <c r="A618" s="1">
        <v>617</v>
      </c>
      <c r="B618" s="1" t="s">
        <v>91</v>
      </c>
      <c r="C618" s="1" t="s">
        <v>824</v>
      </c>
      <c r="D618" s="1" t="str">
        <f>_xlfn.CONCAT(mmmm[[#This Row],[First Name]]," ",mmmm[[#This Row],[Last Name]])</f>
        <v>Eala Hatim</v>
      </c>
      <c r="E618" s="19" t="s">
        <v>27</v>
      </c>
      <c r="F618" s="11">
        <v>43737</v>
      </c>
      <c r="G618" s="19">
        <v>6</v>
      </c>
      <c r="H618" s="19" t="s">
        <v>42</v>
      </c>
      <c r="I618" s="19" t="s">
        <v>20</v>
      </c>
      <c r="J618" s="1" t="s">
        <v>39</v>
      </c>
      <c r="K618" s="19">
        <v>3311</v>
      </c>
      <c r="L618" s="19">
        <v>39732</v>
      </c>
      <c r="M618" s="19">
        <v>4.5</v>
      </c>
      <c r="N618" s="19">
        <v>0</v>
      </c>
      <c r="O618" s="1">
        <v>0</v>
      </c>
      <c r="P618" s="19">
        <v>1</v>
      </c>
    </row>
    <row r="619" spans="1:16">
      <c r="A619" s="1">
        <v>618</v>
      </c>
      <c r="B619" s="1" t="s">
        <v>540</v>
      </c>
      <c r="C619" s="1" t="s">
        <v>825</v>
      </c>
      <c r="D619" s="1" t="str">
        <f>_xlfn.CONCAT(mmmm[[#This Row],[First Name]]," ",mmmm[[#This Row],[Last Name]])</f>
        <v>Dalia Nahlawi</v>
      </c>
      <c r="E619" s="19" t="s">
        <v>27</v>
      </c>
      <c r="F619" s="11">
        <v>43107</v>
      </c>
      <c r="G619" s="19">
        <v>8</v>
      </c>
      <c r="H619" s="19" t="s">
        <v>31</v>
      </c>
      <c r="I619" s="19" t="s">
        <v>20</v>
      </c>
      <c r="J619" s="1" t="s">
        <v>21</v>
      </c>
      <c r="K619" s="19">
        <v>2516</v>
      </c>
      <c r="L619" s="19">
        <v>30192</v>
      </c>
      <c r="M619" s="19">
        <v>3</v>
      </c>
      <c r="N619" s="19">
        <v>6</v>
      </c>
      <c r="O619" s="1">
        <v>0</v>
      </c>
      <c r="P619" s="19">
        <v>3</v>
      </c>
    </row>
    <row r="620" spans="1:16">
      <c r="A620" s="1">
        <v>619</v>
      </c>
      <c r="B620" s="1" t="s">
        <v>826</v>
      </c>
      <c r="C620" s="1" t="s">
        <v>827</v>
      </c>
      <c r="D620" s="1" t="str">
        <f>_xlfn.CONCAT(mmmm[[#This Row],[First Name]]," ",mmmm[[#This Row],[Last Name]])</f>
        <v>Rabye' Alzrqawy</v>
      </c>
      <c r="E620" s="19" t="s">
        <v>18</v>
      </c>
      <c r="F620" s="11">
        <v>43742</v>
      </c>
      <c r="G620" s="19">
        <v>6</v>
      </c>
      <c r="H620" s="19" t="s">
        <v>44</v>
      </c>
      <c r="I620" s="19" t="s">
        <v>24</v>
      </c>
      <c r="J620" s="1" t="s">
        <v>39</v>
      </c>
      <c r="K620" s="19">
        <v>2000</v>
      </c>
      <c r="L620" s="19">
        <v>24000</v>
      </c>
      <c r="M620" s="19">
        <v>3</v>
      </c>
      <c r="N620" s="19">
        <v>1</v>
      </c>
      <c r="O620" s="1">
        <v>0</v>
      </c>
      <c r="P620" s="19">
        <v>0</v>
      </c>
    </row>
    <row r="621" spans="1:16">
      <c r="A621" s="1">
        <v>620</v>
      </c>
      <c r="B621" s="1" t="s">
        <v>490</v>
      </c>
      <c r="C621" s="1" t="s">
        <v>828</v>
      </c>
      <c r="D621" s="1" t="str">
        <f>_xlfn.CONCAT(mmmm[[#This Row],[First Name]]," ",mmmm[[#This Row],[Last Name]])</f>
        <v>Kholoud Huquq</v>
      </c>
      <c r="E621" s="19" t="s">
        <v>27</v>
      </c>
      <c r="F621" s="11">
        <v>43735</v>
      </c>
      <c r="G621" s="19">
        <v>6</v>
      </c>
      <c r="H621" s="19" t="s">
        <v>55</v>
      </c>
      <c r="I621" s="19" t="s">
        <v>32</v>
      </c>
      <c r="J621" s="1" t="s">
        <v>62</v>
      </c>
      <c r="K621" s="19">
        <v>2860</v>
      </c>
      <c r="L621" s="19">
        <v>34320</v>
      </c>
      <c r="M621" s="19">
        <v>3</v>
      </c>
      <c r="N621" s="19">
        <v>0</v>
      </c>
      <c r="O621" s="1">
        <v>6</v>
      </c>
      <c r="P621" s="19">
        <v>7</v>
      </c>
    </row>
    <row r="622" spans="1:16">
      <c r="A622" s="1">
        <v>621</v>
      </c>
      <c r="B622" s="1" t="s">
        <v>148</v>
      </c>
      <c r="C622" s="1" t="s">
        <v>829</v>
      </c>
      <c r="D622" s="1" t="str">
        <f>_xlfn.CONCAT(mmmm[[#This Row],[First Name]]," ",mmmm[[#This Row],[Last Name]])</f>
        <v>Ibrahim Alqatish</v>
      </c>
      <c r="E622" s="19" t="s">
        <v>18</v>
      </c>
      <c r="F622" s="11">
        <v>43557</v>
      </c>
      <c r="G622" s="19">
        <v>7</v>
      </c>
      <c r="H622" s="19" t="s">
        <v>19</v>
      </c>
      <c r="I622" s="19" t="s">
        <v>20</v>
      </c>
      <c r="J622" s="1" t="s">
        <v>560</v>
      </c>
      <c r="K622" s="19">
        <v>943</v>
      </c>
      <c r="L622" s="19">
        <v>11316</v>
      </c>
      <c r="M622" s="19">
        <v>4.5</v>
      </c>
      <c r="N622" s="19">
        <v>0</v>
      </c>
      <c r="O622" s="1">
        <v>0</v>
      </c>
      <c r="P622" s="19">
        <v>1</v>
      </c>
    </row>
    <row r="623" spans="1:16">
      <c r="A623" s="1">
        <v>622</v>
      </c>
      <c r="B623" s="1" t="s">
        <v>342</v>
      </c>
      <c r="C623" s="1" t="s">
        <v>830</v>
      </c>
      <c r="D623" s="1" t="str">
        <f>_xlfn.CONCAT(mmmm[[#This Row],[First Name]]," ",mmmm[[#This Row],[Last Name]])</f>
        <v>Salih Altawil</v>
      </c>
      <c r="E623" s="19" t="s">
        <v>18</v>
      </c>
      <c r="F623" s="11">
        <v>43720</v>
      </c>
      <c r="G623" s="19">
        <v>6</v>
      </c>
      <c r="H623" s="19" t="s">
        <v>19</v>
      </c>
      <c r="I623" s="19" t="s">
        <v>50</v>
      </c>
      <c r="J623" s="1" t="s">
        <v>33</v>
      </c>
      <c r="K623" s="19">
        <v>1018</v>
      </c>
      <c r="L623" s="19">
        <v>12216</v>
      </c>
      <c r="M623" s="19">
        <v>2</v>
      </c>
      <c r="N623" s="19">
        <v>5</v>
      </c>
      <c r="O623" s="1">
        <v>0</v>
      </c>
      <c r="P623" s="19">
        <v>10</v>
      </c>
    </row>
    <row r="624" spans="1:16">
      <c r="A624" s="1">
        <v>623</v>
      </c>
      <c r="B624" s="1" t="s">
        <v>118</v>
      </c>
      <c r="C624" s="1" t="s">
        <v>831</v>
      </c>
      <c r="D624" s="1" t="str">
        <f>_xlfn.CONCAT(mmmm[[#This Row],[First Name]]," ",mmmm[[#This Row],[Last Name]])</f>
        <v>Sami Alsyd Ahmad</v>
      </c>
      <c r="E624" s="19" t="s">
        <v>18</v>
      </c>
      <c r="F624" s="11">
        <v>43502</v>
      </c>
      <c r="G624" s="19">
        <v>7</v>
      </c>
      <c r="H624" s="19" t="s">
        <v>19</v>
      </c>
      <c r="I624" s="19" t="s">
        <v>20</v>
      </c>
      <c r="J624" s="1" t="s">
        <v>62</v>
      </c>
      <c r="K624" s="19">
        <v>1835</v>
      </c>
      <c r="L624" s="19">
        <v>22020</v>
      </c>
      <c r="M624" s="19">
        <v>3</v>
      </c>
      <c r="N624" s="19">
        <v>1</v>
      </c>
      <c r="O624" s="1">
        <v>0</v>
      </c>
      <c r="P624" s="19">
        <v>50</v>
      </c>
    </row>
    <row r="625" spans="1:16">
      <c r="A625" s="1">
        <v>624</v>
      </c>
      <c r="B625" s="1" t="s">
        <v>374</v>
      </c>
      <c r="C625" s="1" t="s">
        <v>832</v>
      </c>
      <c r="D625" s="1" t="str">
        <f>_xlfn.CONCAT(mmmm[[#This Row],[First Name]]," ",mmmm[[#This Row],[Last Name]])</f>
        <v>Zahir Aleitar</v>
      </c>
      <c r="E625" s="19" t="s">
        <v>18</v>
      </c>
      <c r="F625" s="11">
        <v>43348</v>
      </c>
      <c r="G625" s="19">
        <v>7</v>
      </c>
      <c r="H625" s="19" t="s">
        <v>79</v>
      </c>
      <c r="I625" s="19" t="s">
        <v>50</v>
      </c>
      <c r="J625" s="1" t="s">
        <v>21</v>
      </c>
      <c r="K625" s="19">
        <v>2192</v>
      </c>
      <c r="L625" s="19">
        <v>26304</v>
      </c>
      <c r="M625" s="19">
        <v>4.5</v>
      </c>
      <c r="N625" s="19">
        <v>0</v>
      </c>
      <c r="O625" s="1">
        <v>4</v>
      </c>
      <c r="P625" s="19">
        <v>1</v>
      </c>
    </row>
    <row r="626" spans="1:16">
      <c r="A626" s="1">
        <v>625</v>
      </c>
      <c r="B626" s="1" t="s">
        <v>833</v>
      </c>
      <c r="C626" s="1" t="s">
        <v>834</v>
      </c>
      <c r="D626" s="1" t="str">
        <f>_xlfn.CONCAT(mmmm[[#This Row],[First Name]]," ",mmmm[[#This Row],[Last Name]])</f>
        <v>Fatir Alealiu</v>
      </c>
      <c r="E626" s="19" t="s">
        <v>18</v>
      </c>
      <c r="F626" s="11">
        <v>43641</v>
      </c>
      <c r="G626" s="19">
        <v>7</v>
      </c>
      <c r="H626" s="19" t="s">
        <v>31</v>
      </c>
      <c r="I626" s="19" t="s">
        <v>20</v>
      </c>
      <c r="J626" s="1" t="s">
        <v>33</v>
      </c>
      <c r="K626" s="19">
        <v>2875</v>
      </c>
      <c r="L626" s="19">
        <v>34500</v>
      </c>
      <c r="M626" s="19">
        <v>3</v>
      </c>
      <c r="N626" s="19">
        <v>0</v>
      </c>
      <c r="O626" s="1">
        <v>0</v>
      </c>
      <c r="P626" s="19">
        <v>4</v>
      </c>
    </row>
    <row r="627" spans="1:16">
      <c r="A627" s="1">
        <v>626</v>
      </c>
      <c r="B627" s="1" t="s">
        <v>71</v>
      </c>
      <c r="C627" s="1" t="s">
        <v>834</v>
      </c>
      <c r="D627" s="1" t="str">
        <f>_xlfn.CONCAT(mmmm[[#This Row],[First Name]]," ",mmmm[[#This Row],[Last Name]])</f>
        <v>Samir Alealiu</v>
      </c>
      <c r="E627" s="19" t="s">
        <v>18</v>
      </c>
      <c r="F627" s="11">
        <v>43737</v>
      </c>
      <c r="G627" s="19">
        <v>6</v>
      </c>
      <c r="H627" s="19" t="s">
        <v>60</v>
      </c>
      <c r="I627" s="19" t="s">
        <v>24</v>
      </c>
      <c r="J627" s="1" t="s">
        <v>21</v>
      </c>
      <c r="K627" s="19">
        <v>1332</v>
      </c>
      <c r="L627" s="19">
        <v>15984</v>
      </c>
      <c r="M627" s="19">
        <v>2</v>
      </c>
      <c r="N627" s="19">
        <v>0</v>
      </c>
      <c r="O627" s="1">
        <v>0</v>
      </c>
      <c r="P627" s="19">
        <v>14</v>
      </c>
    </row>
    <row r="628" spans="1:16">
      <c r="A628" s="1">
        <v>627</v>
      </c>
      <c r="B628" s="1" t="s">
        <v>36</v>
      </c>
      <c r="C628" s="1" t="s">
        <v>835</v>
      </c>
      <c r="D628" s="1" t="str">
        <f>_xlfn.CONCAT(mmmm[[#This Row],[First Name]]," ",mmmm[[#This Row],[Last Name]])</f>
        <v>Muhamad Sulayman</v>
      </c>
      <c r="E628" s="19" t="s">
        <v>18</v>
      </c>
      <c r="F628" s="11">
        <v>43071</v>
      </c>
      <c r="G628" s="19">
        <v>8</v>
      </c>
      <c r="H628" s="19" t="s">
        <v>52</v>
      </c>
      <c r="I628" s="19" t="s">
        <v>24</v>
      </c>
      <c r="J628" s="1" t="s">
        <v>39</v>
      </c>
      <c r="K628" s="19">
        <v>2023</v>
      </c>
      <c r="L628" s="19">
        <v>24276</v>
      </c>
      <c r="M628" s="19">
        <v>5</v>
      </c>
      <c r="N628" s="19">
        <v>6</v>
      </c>
      <c r="O628" s="1">
        <v>0</v>
      </c>
      <c r="P628" s="19">
        <v>5</v>
      </c>
    </row>
    <row r="629" spans="1:16">
      <c r="A629" s="1">
        <v>628</v>
      </c>
      <c r="B629" s="1" t="s">
        <v>36</v>
      </c>
      <c r="C629" s="1" t="s">
        <v>836</v>
      </c>
      <c r="D629" s="1" t="str">
        <f>_xlfn.CONCAT(mmmm[[#This Row],[First Name]]," ",mmmm[[#This Row],[Last Name]])</f>
        <v>Muhamad Suqabani</v>
      </c>
      <c r="E629" s="19" t="s">
        <v>18</v>
      </c>
      <c r="F629" s="11">
        <v>44156</v>
      </c>
      <c r="G629" s="19">
        <v>5</v>
      </c>
      <c r="H629" s="19" t="s">
        <v>79</v>
      </c>
      <c r="I629" s="19" t="s">
        <v>20</v>
      </c>
      <c r="J629" s="1" t="s">
        <v>560</v>
      </c>
      <c r="K629" s="19">
        <v>2094</v>
      </c>
      <c r="L629" s="19">
        <v>25128</v>
      </c>
      <c r="M629" s="19">
        <v>4.5</v>
      </c>
      <c r="N629" s="19">
        <v>6</v>
      </c>
      <c r="O629" s="1">
        <v>5</v>
      </c>
      <c r="P629" s="19">
        <v>2</v>
      </c>
    </row>
    <row r="630" spans="1:16">
      <c r="A630" s="1">
        <v>629</v>
      </c>
      <c r="B630" s="1" t="s">
        <v>36</v>
      </c>
      <c r="C630" s="1" t="s">
        <v>837</v>
      </c>
      <c r="D630" s="1" t="str">
        <f>_xlfn.CONCAT(mmmm[[#This Row],[First Name]]," ",mmmm[[#This Row],[Last Name]])</f>
        <v>Muhamad Aldubbas</v>
      </c>
      <c r="E630" s="19" t="s">
        <v>18</v>
      </c>
      <c r="F630" s="11">
        <v>43617</v>
      </c>
      <c r="G630" s="19">
        <v>7</v>
      </c>
      <c r="H630" s="19" t="s">
        <v>47</v>
      </c>
      <c r="I630" s="19" t="s">
        <v>24</v>
      </c>
      <c r="J630" s="1" t="s">
        <v>39</v>
      </c>
      <c r="K630" s="19">
        <v>3006</v>
      </c>
      <c r="L630" s="19">
        <v>36072</v>
      </c>
      <c r="M630" s="19">
        <v>4.5</v>
      </c>
      <c r="N630" s="19">
        <v>0</v>
      </c>
      <c r="O630" s="1">
        <v>3</v>
      </c>
      <c r="P630" s="19">
        <v>7</v>
      </c>
    </row>
    <row r="631" spans="1:16">
      <c r="A631" s="1">
        <v>630</v>
      </c>
      <c r="B631" s="1" t="s">
        <v>838</v>
      </c>
      <c r="C631" s="1" t="s">
        <v>839</v>
      </c>
      <c r="D631" s="1" t="str">
        <f>_xlfn.CONCAT(mmmm[[#This Row],[First Name]]," ",mmmm[[#This Row],[Last Name]])</f>
        <v>Hamzaa Astitih</v>
      </c>
      <c r="E631" s="19" t="s">
        <v>18</v>
      </c>
      <c r="F631" s="11">
        <v>43795</v>
      </c>
      <c r="G631" s="19">
        <v>6</v>
      </c>
      <c r="H631" s="19" t="s">
        <v>31</v>
      </c>
      <c r="I631" s="19" t="s">
        <v>32</v>
      </c>
      <c r="J631" s="1" t="s">
        <v>33</v>
      </c>
      <c r="K631" s="19">
        <v>2717</v>
      </c>
      <c r="L631" s="19">
        <v>32604</v>
      </c>
      <c r="M631" s="19">
        <v>5</v>
      </c>
      <c r="N631" s="19">
        <v>0</v>
      </c>
      <c r="O631" s="1">
        <v>0</v>
      </c>
      <c r="P631" s="19">
        <v>7</v>
      </c>
    </row>
    <row r="632" spans="1:16">
      <c r="A632" s="1">
        <v>631</v>
      </c>
      <c r="B632" s="1" t="s">
        <v>835</v>
      </c>
      <c r="C632" s="1" t="s">
        <v>840</v>
      </c>
      <c r="D632" s="1" t="str">
        <f>_xlfn.CONCAT(mmmm[[#This Row],[First Name]]," ",mmmm[[#This Row],[Last Name]])</f>
        <v>Sulayman Zinu</v>
      </c>
      <c r="E632" s="19" t="s">
        <v>18</v>
      </c>
      <c r="F632" s="11">
        <v>43326</v>
      </c>
      <c r="G632" s="19">
        <v>7</v>
      </c>
      <c r="H632" s="19" t="s">
        <v>78</v>
      </c>
      <c r="I632" s="19" t="s">
        <v>32</v>
      </c>
      <c r="J632" s="1" t="s">
        <v>33</v>
      </c>
      <c r="K632" s="19">
        <v>3135</v>
      </c>
      <c r="L632" s="19">
        <v>37620</v>
      </c>
      <c r="M632" s="19">
        <v>3</v>
      </c>
      <c r="N632" s="19">
        <v>1</v>
      </c>
      <c r="O632" s="1">
        <v>0</v>
      </c>
      <c r="P632" s="19">
        <v>5</v>
      </c>
    </row>
    <row r="633" spans="1:16">
      <c r="A633" s="1">
        <v>632</v>
      </c>
      <c r="B633" s="1" t="s">
        <v>61</v>
      </c>
      <c r="C633" s="1" t="s">
        <v>48</v>
      </c>
      <c r="D633" s="1" t="str">
        <f>_xlfn.CONCAT(mmmm[[#This Row],[First Name]]," ",mmmm[[#This Row],[Last Name]])</f>
        <v>Alaa Alrifaei</v>
      </c>
      <c r="E633" s="19" t="s">
        <v>27</v>
      </c>
      <c r="F633" s="11">
        <v>43776</v>
      </c>
      <c r="G633" s="19">
        <v>6</v>
      </c>
      <c r="H633" s="19" t="s">
        <v>44</v>
      </c>
      <c r="I633" s="19" t="s">
        <v>32</v>
      </c>
      <c r="J633" s="1" t="s">
        <v>39</v>
      </c>
      <c r="K633" s="19">
        <v>2334</v>
      </c>
      <c r="L633" s="19">
        <v>28008</v>
      </c>
      <c r="M633" s="19">
        <v>1</v>
      </c>
      <c r="N633" s="19">
        <v>2</v>
      </c>
      <c r="O633" s="1">
        <v>0</v>
      </c>
      <c r="P633" s="19">
        <v>2</v>
      </c>
    </row>
    <row r="634" spans="1:16">
      <c r="A634" s="1">
        <v>633</v>
      </c>
      <c r="B634" s="1" t="s">
        <v>174</v>
      </c>
      <c r="C634" s="1" t="s">
        <v>48</v>
      </c>
      <c r="D634" s="1" t="str">
        <f>_xlfn.CONCAT(mmmm[[#This Row],[First Name]]," ",mmmm[[#This Row],[Last Name]])</f>
        <v>Rasha Alrifaei</v>
      </c>
      <c r="E634" s="19" t="s">
        <v>27</v>
      </c>
      <c r="F634" s="11">
        <v>43487</v>
      </c>
      <c r="G634" s="19">
        <v>7</v>
      </c>
      <c r="H634" s="19" t="s">
        <v>44</v>
      </c>
      <c r="I634" s="19" t="s">
        <v>20</v>
      </c>
      <c r="J634" s="1" t="s">
        <v>39</v>
      </c>
      <c r="K634" s="19">
        <v>1661</v>
      </c>
      <c r="L634" s="19">
        <v>19932</v>
      </c>
      <c r="M634" s="19">
        <v>5</v>
      </c>
      <c r="N634" s="19">
        <v>4</v>
      </c>
      <c r="O634" s="1">
        <v>0</v>
      </c>
      <c r="P634" s="19">
        <v>9</v>
      </c>
    </row>
    <row r="635" spans="1:16">
      <c r="A635" s="1">
        <v>634</v>
      </c>
      <c r="B635" s="1" t="s">
        <v>58</v>
      </c>
      <c r="C635" s="1" t="s">
        <v>841</v>
      </c>
      <c r="D635" s="1" t="str">
        <f>_xlfn.CONCAT(mmmm[[#This Row],[First Name]]," ",mmmm[[#This Row],[Last Name]])</f>
        <v>Bayan Darbika</v>
      </c>
      <c r="E635" s="19" t="s">
        <v>27</v>
      </c>
      <c r="F635" s="11">
        <v>43595</v>
      </c>
      <c r="G635" s="19">
        <v>7</v>
      </c>
      <c r="H635" s="19" t="s">
        <v>354</v>
      </c>
      <c r="I635" s="19" t="s">
        <v>20</v>
      </c>
      <c r="J635" s="1" t="s">
        <v>560</v>
      </c>
      <c r="K635" s="19">
        <v>1230</v>
      </c>
      <c r="L635" s="19">
        <v>14760</v>
      </c>
      <c r="M635" s="19">
        <v>5</v>
      </c>
      <c r="N635" s="19">
        <v>0</v>
      </c>
      <c r="O635" s="1">
        <v>6</v>
      </c>
      <c r="P635" s="19">
        <v>5</v>
      </c>
    </row>
    <row r="636" spans="1:16">
      <c r="A636" s="1">
        <v>635</v>
      </c>
      <c r="B636" s="1" t="s">
        <v>40</v>
      </c>
      <c r="C636" s="1" t="s">
        <v>259</v>
      </c>
      <c r="D636" s="1" t="str">
        <f>_xlfn.CONCAT(mmmm[[#This Row],[First Name]]," ",mmmm[[#This Row],[Last Name]])</f>
        <v>Iin Almunzilijiu</v>
      </c>
      <c r="E636" s="19" t="s">
        <v>27</v>
      </c>
      <c r="F636" s="11">
        <v>42434</v>
      </c>
      <c r="G636" s="19">
        <v>10</v>
      </c>
      <c r="H636" s="19" t="s">
        <v>42</v>
      </c>
      <c r="I636" s="19" t="s">
        <v>24</v>
      </c>
      <c r="J636" s="1" t="s">
        <v>33</v>
      </c>
      <c r="K636" s="19">
        <v>1483</v>
      </c>
      <c r="L636" s="19">
        <v>17796</v>
      </c>
      <c r="M636" s="19">
        <v>5</v>
      </c>
      <c r="N636" s="19">
        <v>0</v>
      </c>
      <c r="O636" s="1">
        <v>2</v>
      </c>
      <c r="P636" s="19">
        <v>8</v>
      </c>
    </row>
    <row r="637" spans="1:16">
      <c r="A637" s="1">
        <v>636</v>
      </c>
      <c r="B637" s="1" t="s">
        <v>126</v>
      </c>
      <c r="C637" s="1" t="s">
        <v>842</v>
      </c>
      <c r="D637" s="1" t="str">
        <f>_xlfn.CONCAT(mmmm[[#This Row],[First Name]]," ",mmmm[[#This Row],[Last Name]])</f>
        <v>Abd Alwahhab Aldhiyab</v>
      </c>
      <c r="E637" s="19" t="s">
        <v>18</v>
      </c>
      <c r="F637" s="11">
        <v>43614</v>
      </c>
      <c r="G637" s="19">
        <v>7</v>
      </c>
      <c r="H637" s="19" t="s">
        <v>19</v>
      </c>
      <c r="I637" s="19" t="s">
        <v>32</v>
      </c>
      <c r="J637" s="1" t="s">
        <v>39</v>
      </c>
      <c r="K637" s="19">
        <v>2462</v>
      </c>
      <c r="L637" s="19">
        <v>29544</v>
      </c>
      <c r="M637" s="19">
        <v>3</v>
      </c>
      <c r="N637" s="19">
        <v>6</v>
      </c>
      <c r="O637" s="1">
        <v>3</v>
      </c>
      <c r="P637" s="19">
        <v>2</v>
      </c>
    </row>
    <row r="638" spans="1:16">
      <c r="A638" s="1">
        <v>637</v>
      </c>
      <c r="B638" s="1" t="s">
        <v>720</v>
      </c>
      <c r="C638" s="1" t="s">
        <v>843</v>
      </c>
      <c r="D638" s="1" t="str">
        <f>_xlfn.CONCAT(mmmm[[#This Row],[First Name]]," ",mmmm[[#This Row],[Last Name]])</f>
        <v>Hanan Salahi</v>
      </c>
      <c r="E638" s="19" t="s">
        <v>27</v>
      </c>
      <c r="F638" s="11">
        <v>44194</v>
      </c>
      <c r="G638" s="19">
        <v>5</v>
      </c>
      <c r="H638" s="19" t="s">
        <v>79</v>
      </c>
      <c r="I638" s="19" t="s">
        <v>20</v>
      </c>
      <c r="J638" s="1" t="s">
        <v>560</v>
      </c>
      <c r="K638" s="19">
        <v>2180</v>
      </c>
      <c r="L638" s="19">
        <v>26160</v>
      </c>
      <c r="M638" s="19">
        <v>5</v>
      </c>
      <c r="N638" s="19">
        <v>3</v>
      </c>
      <c r="O638" s="1">
        <v>0</v>
      </c>
      <c r="P638" s="19">
        <v>0</v>
      </c>
    </row>
    <row r="639" spans="1:16">
      <c r="A639" s="1">
        <v>638</v>
      </c>
      <c r="B639" s="1" t="s">
        <v>214</v>
      </c>
      <c r="C639" s="1" t="s">
        <v>844</v>
      </c>
      <c r="D639" s="1" t="str">
        <f>_xlfn.CONCAT(mmmm[[#This Row],[First Name]]," ",mmmm[[#This Row],[Last Name]])</f>
        <v>Mari Ayuwb</v>
      </c>
      <c r="E639" s="19" t="s">
        <v>27</v>
      </c>
      <c r="F639" s="11">
        <v>42576</v>
      </c>
      <c r="G639" s="19">
        <v>10</v>
      </c>
      <c r="H639" s="19" t="s">
        <v>120</v>
      </c>
      <c r="I639" s="19" t="s">
        <v>20</v>
      </c>
      <c r="J639" s="1" t="s">
        <v>39</v>
      </c>
      <c r="K639" s="19">
        <v>943</v>
      </c>
      <c r="L639" s="19">
        <v>11316</v>
      </c>
      <c r="M639" s="19">
        <v>5</v>
      </c>
      <c r="N639" s="19">
        <v>0</v>
      </c>
      <c r="O639" s="1">
        <v>4</v>
      </c>
      <c r="P639" s="19">
        <v>7</v>
      </c>
    </row>
    <row r="640" spans="1:16">
      <c r="A640" s="1">
        <v>639</v>
      </c>
      <c r="B640" s="1" t="s">
        <v>22</v>
      </c>
      <c r="C640" s="1" t="s">
        <v>845</v>
      </c>
      <c r="D640" s="1" t="str">
        <f>_xlfn.CONCAT(mmmm[[#This Row],[First Name]]," ",mmmm[[#This Row],[Last Name]])</f>
        <v>Omar Shawqi</v>
      </c>
      <c r="E640" s="19" t="s">
        <v>18</v>
      </c>
      <c r="F640" s="11">
        <v>43688</v>
      </c>
      <c r="G640" s="19">
        <v>6</v>
      </c>
      <c r="H640" s="19" t="s">
        <v>28</v>
      </c>
      <c r="I640" s="19" t="s">
        <v>20</v>
      </c>
      <c r="J640" s="1" t="s">
        <v>33</v>
      </c>
      <c r="K640" s="19">
        <v>2489</v>
      </c>
      <c r="L640" s="19">
        <v>29868</v>
      </c>
      <c r="M640" s="19">
        <v>3</v>
      </c>
      <c r="N640" s="19">
        <v>6</v>
      </c>
      <c r="O640" s="1">
        <v>0</v>
      </c>
      <c r="P640" s="19">
        <v>3</v>
      </c>
    </row>
    <row r="641" spans="1:16">
      <c r="A641" s="1">
        <v>640</v>
      </c>
      <c r="B641" s="1" t="s">
        <v>197</v>
      </c>
      <c r="C641" s="1" t="s">
        <v>846</v>
      </c>
      <c r="D641" s="1" t="str">
        <f>_xlfn.CONCAT(mmmm[[#This Row],[First Name]]," ",mmmm[[#This Row],[Last Name]])</f>
        <v>Tariq Aldhahabi</v>
      </c>
      <c r="E641" s="19" t="s">
        <v>18</v>
      </c>
      <c r="F641" s="11">
        <v>43781</v>
      </c>
      <c r="G641" s="19">
        <v>6</v>
      </c>
      <c r="H641" s="19" t="s">
        <v>38</v>
      </c>
      <c r="I641" s="19" t="s">
        <v>20</v>
      </c>
      <c r="J641" s="1" t="s">
        <v>62</v>
      </c>
      <c r="K641" s="19">
        <v>2279</v>
      </c>
      <c r="L641" s="19">
        <v>27348</v>
      </c>
      <c r="M641" s="19">
        <v>5</v>
      </c>
      <c r="N641" s="19">
        <v>0</v>
      </c>
      <c r="O641" s="1">
        <v>0</v>
      </c>
      <c r="P641" s="19">
        <v>4</v>
      </c>
    </row>
    <row r="642" spans="1:16">
      <c r="A642" s="1">
        <v>641</v>
      </c>
      <c r="B642" s="1" t="s">
        <v>653</v>
      </c>
      <c r="C642" s="1" t="s">
        <v>629</v>
      </c>
      <c r="D642" s="1" t="str">
        <f>_xlfn.CONCAT(mmmm[[#This Row],[First Name]]," ",mmmm[[#This Row],[Last Name]])</f>
        <v>Rama Asead</v>
      </c>
      <c r="E642" s="19" t="s">
        <v>27</v>
      </c>
      <c r="F642" s="11">
        <v>43479</v>
      </c>
      <c r="G642" s="19">
        <v>7</v>
      </c>
      <c r="H642" s="19" t="s">
        <v>79</v>
      </c>
      <c r="I642" s="19" t="s">
        <v>24</v>
      </c>
      <c r="J642" s="1" t="s">
        <v>33</v>
      </c>
      <c r="K642" s="19">
        <v>840</v>
      </c>
      <c r="L642" s="19">
        <v>10080</v>
      </c>
      <c r="M642" s="19">
        <v>3</v>
      </c>
      <c r="N642" s="19">
        <v>4</v>
      </c>
      <c r="O642" s="1">
        <v>0</v>
      </c>
      <c r="P642" s="19">
        <v>10</v>
      </c>
    </row>
    <row r="643" spans="1:16">
      <c r="A643" s="1">
        <v>642</v>
      </c>
      <c r="B643" s="1" t="s">
        <v>847</v>
      </c>
      <c r="C643" s="1" t="s">
        <v>285</v>
      </c>
      <c r="D643" s="1" t="str">
        <f>_xlfn.CONCAT(mmmm[[#This Row],[First Name]]," ",mmmm[[#This Row],[Last Name]])</f>
        <v>Ghayth Eali</v>
      </c>
      <c r="E643" s="19" t="s">
        <v>18</v>
      </c>
      <c r="F643" s="11">
        <v>43511</v>
      </c>
      <c r="G643" s="19">
        <v>7</v>
      </c>
      <c r="H643" s="19" t="s">
        <v>19</v>
      </c>
      <c r="I643" s="19" t="s">
        <v>20</v>
      </c>
      <c r="J643" s="1" t="s">
        <v>39</v>
      </c>
      <c r="K643" s="19">
        <v>1601</v>
      </c>
      <c r="L643" s="19">
        <v>19212</v>
      </c>
      <c r="M643" s="19">
        <v>5</v>
      </c>
      <c r="N643" s="19">
        <v>0</v>
      </c>
      <c r="O643" s="1">
        <v>0</v>
      </c>
      <c r="P643" s="19">
        <v>3</v>
      </c>
    </row>
    <row r="644" spans="1:16">
      <c r="A644" s="1">
        <v>643</v>
      </c>
      <c r="B644" s="1" t="s">
        <v>221</v>
      </c>
      <c r="C644" s="1" t="s">
        <v>620</v>
      </c>
      <c r="D644" s="1" t="str">
        <f>_xlfn.CONCAT(mmmm[[#This Row],[First Name]]," ",mmmm[[#This Row],[Last Name]])</f>
        <v>Mahir Eabuwd</v>
      </c>
      <c r="E644" s="19" t="s">
        <v>18</v>
      </c>
      <c r="F644" s="11">
        <v>43218</v>
      </c>
      <c r="G644" s="19">
        <v>8</v>
      </c>
      <c r="H644" s="19" t="s">
        <v>44</v>
      </c>
      <c r="I644" s="19" t="s">
        <v>20</v>
      </c>
      <c r="J644" s="1" t="s">
        <v>39</v>
      </c>
      <c r="K644" s="19">
        <v>1414</v>
      </c>
      <c r="L644" s="19">
        <v>16968</v>
      </c>
      <c r="M644" s="19">
        <v>5</v>
      </c>
      <c r="N644" s="19">
        <v>4</v>
      </c>
      <c r="O644" s="1">
        <v>0</v>
      </c>
      <c r="P644" s="19">
        <v>10</v>
      </c>
    </row>
    <row r="645" spans="1:16">
      <c r="A645" s="1">
        <v>644</v>
      </c>
      <c r="B645" s="1" t="s">
        <v>153</v>
      </c>
      <c r="C645" s="1" t="s">
        <v>848</v>
      </c>
      <c r="D645" s="1" t="str">
        <f>_xlfn.CONCAT(mmmm[[#This Row],[First Name]]," ",mmmm[[#This Row],[Last Name]])</f>
        <v>Muwmin Almujahid</v>
      </c>
      <c r="E645" s="19" t="s">
        <v>18</v>
      </c>
      <c r="F645" s="11">
        <v>43915</v>
      </c>
      <c r="G645" s="19">
        <v>6</v>
      </c>
      <c r="H645" s="19" t="s">
        <v>52</v>
      </c>
      <c r="I645" s="19" t="s">
        <v>32</v>
      </c>
      <c r="J645" s="1" t="s">
        <v>39</v>
      </c>
      <c r="K645" s="19">
        <v>905</v>
      </c>
      <c r="L645" s="19">
        <v>10860</v>
      </c>
      <c r="M645" s="19">
        <v>3</v>
      </c>
      <c r="N645" s="19">
        <v>0</v>
      </c>
      <c r="O645" s="1">
        <v>0</v>
      </c>
      <c r="P645" s="19">
        <v>8</v>
      </c>
    </row>
    <row r="646" spans="1:16">
      <c r="A646" s="1">
        <v>645</v>
      </c>
      <c r="B646" s="1" t="s">
        <v>849</v>
      </c>
      <c r="C646" s="1" t="s">
        <v>324</v>
      </c>
      <c r="D646" s="1" t="str">
        <f>_xlfn.CONCAT(mmmm[[#This Row],[First Name]]," ",mmmm[[#This Row],[Last Name]])</f>
        <v>Dima Drwysh</v>
      </c>
      <c r="E646" s="19" t="s">
        <v>27</v>
      </c>
      <c r="F646" s="11">
        <v>43894</v>
      </c>
      <c r="G646" s="19">
        <v>6</v>
      </c>
      <c r="H646" s="19" t="s">
        <v>55</v>
      </c>
      <c r="I646" s="19" t="s">
        <v>32</v>
      </c>
      <c r="J646" s="1" t="s">
        <v>39</v>
      </c>
      <c r="K646" s="19">
        <v>2525</v>
      </c>
      <c r="L646" s="19">
        <v>30300</v>
      </c>
      <c r="M646" s="19">
        <v>3</v>
      </c>
      <c r="N646" s="19">
        <v>0</v>
      </c>
      <c r="O646" s="1">
        <v>0</v>
      </c>
      <c r="P646" s="19">
        <v>10</v>
      </c>
    </row>
    <row r="647" spans="1:16">
      <c r="A647" s="1">
        <v>646</v>
      </c>
      <c r="B647" s="1" t="s">
        <v>36</v>
      </c>
      <c r="C647" s="1" t="s">
        <v>167</v>
      </c>
      <c r="D647" s="1" t="str">
        <f>_xlfn.CONCAT(mmmm[[#This Row],[First Name]]," ",mmmm[[#This Row],[Last Name]])</f>
        <v>Muhamad Khalid</v>
      </c>
      <c r="E647" s="19" t="s">
        <v>18</v>
      </c>
      <c r="F647" s="11">
        <v>43245</v>
      </c>
      <c r="G647" s="19">
        <v>8</v>
      </c>
      <c r="H647" s="19" t="s">
        <v>42</v>
      </c>
      <c r="I647" s="19" t="s">
        <v>20</v>
      </c>
      <c r="J647" s="1" t="s">
        <v>39</v>
      </c>
      <c r="K647" s="19">
        <v>1412</v>
      </c>
      <c r="L647" s="19">
        <v>16944</v>
      </c>
      <c r="M647" s="19">
        <v>2</v>
      </c>
      <c r="N647" s="19">
        <v>0</v>
      </c>
      <c r="O647" s="1">
        <v>0</v>
      </c>
      <c r="P647" s="19">
        <v>7</v>
      </c>
    </row>
    <row r="648" spans="1:16">
      <c r="A648" s="1">
        <v>647</v>
      </c>
      <c r="B648" s="1" t="s">
        <v>328</v>
      </c>
      <c r="C648" s="1" t="s">
        <v>850</v>
      </c>
      <c r="D648" s="1" t="str">
        <f>_xlfn.CONCAT(mmmm[[#This Row],[First Name]]," ",mmmm[[#This Row],[Last Name]])</f>
        <v>Diea Filyun</v>
      </c>
      <c r="E648" s="19" t="s">
        <v>18</v>
      </c>
      <c r="F648" s="11">
        <v>43834</v>
      </c>
      <c r="G648" s="19">
        <v>6</v>
      </c>
      <c r="H648" s="19" t="s">
        <v>31</v>
      </c>
      <c r="I648" s="19" t="s">
        <v>50</v>
      </c>
      <c r="J648" s="1" t="s">
        <v>33</v>
      </c>
      <c r="K648" s="19">
        <v>2397</v>
      </c>
      <c r="L648" s="19">
        <v>28764</v>
      </c>
      <c r="M648" s="19">
        <v>3</v>
      </c>
      <c r="N648" s="19">
        <v>0</v>
      </c>
      <c r="O648" s="1">
        <v>0</v>
      </c>
      <c r="P648" s="19">
        <v>100</v>
      </c>
    </row>
    <row r="649" spans="1:16">
      <c r="A649" s="1">
        <v>648</v>
      </c>
      <c r="B649" s="1" t="s">
        <v>36</v>
      </c>
      <c r="C649" s="1" t="s">
        <v>851</v>
      </c>
      <c r="D649" s="1" t="str">
        <f>_xlfn.CONCAT(mmmm[[#This Row],[First Name]]," ",mmmm[[#This Row],[Last Name]])</f>
        <v>Muhamad Tasbihji</v>
      </c>
      <c r="E649" s="19" t="s">
        <v>18</v>
      </c>
      <c r="F649" s="11">
        <v>44055</v>
      </c>
      <c r="G649" s="19">
        <v>5</v>
      </c>
      <c r="H649" s="19" t="s">
        <v>44</v>
      </c>
      <c r="I649" s="19" t="s">
        <v>20</v>
      </c>
      <c r="J649" s="1" t="s">
        <v>39</v>
      </c>
      <c r="K649" s="19">
        <v>1153</v>
      </c>
      <c r="L649" s="19">
        <v>13836</v>
      </c>
      <c r="M649" s="19">
        <v>4.5</v>
      </c>
      <c r="N649" s="19">
        <v>0</v>
      </c>
      <c r="O649" s="1">
        <v>2</v>
      </c>
      <c r="P649" s="19">
        <v>10</v>
      </c>
    </row>
    <row r="650" spans="1:16">
      <c r="A650" s="1">
        <v>649</v>
      </c>
      <c r="B650" s="1" t="s">
        <v>172</v>
      </c>
      <c r="C650" s="1" t="s">
        <v>852</v>
      </c>
      <c r="D650" s="1" t="str">
        <f>_xlfn.CONCAT(mmmm[[#This Row],[First Name]]," ",mmmm[[#This Row],[Last Name]])</f>
        <v>Mazin Shumut</v>
      </c>
      <c r="E650" s="19" t="s">
        <v>18</v>
      </c>
      <c r="F650" s="11">
        <v>42952</v>
      </c>
      <c r="G650" s="19">
        <v>9</v>
      </c>
      <c r="H650" s="19" t="s">
        <v>44</v>
      </c>
      <c r="I650" s="19" t="s">
        <v>20</v>
      </c>
      <c r="J650" s="1" t="s">
        <v>39</v>
      </c>
      <c r="K650" s="19">
        <v>2091</v>
      </c>
      <c r="L650" s="19">
        <v>25092</v>
      </c>
      <c r="M650" s="19">
        <v>2</v>
      </c>
      <c r="N650" s="19">
        <v>0</v>
      </c>
      <c r="O650" s="1">
        <v>0</v>
      </c>
      <c r="P650" s="19">
        <v>6</v>
      </c>
    </row>
    <row r="651" spans="1:16">
      <c r="A651" s="1">
        <v>650</v>
      </c>
      <c r="B651" s="1" t="s">
        <v>22</v>
      </c>
      <c r="C651" s="1" t="s">
        <v>853</v>
      </c>
      <c r="D651" s="1" t="str">
        <f>_xlfn.CONCAT(mmmm[[#This Row],[First Name]]," ",mmmm[[#This Row],[Last Name]])</f>
        <v>Omar Zaqzuq</v>
      </c>
      <c r="E651" s="19" t="s">
        <v>18</v>
      </c>
      <c r="F651" s="11">
        <v>44011</v>
      </c>
      <c r="G651" s="19">
        <v>6</v>
      </c>
      <c r="H651" s="19" t="s">
        <v>31</v>
      </c>
      <c r="I651" s="19" t="s">
        <v>32</v>
      </c>
      <c r="J651" s="1" t="s">
        <v>21</v>
      </c>
      <c r="K651" s="19">
        <v>1444</v>
      </c>
      <c r="L651" s="19">
        <v>17328</v>
      </c>
      <c r="M651" s="19">
        <v>5</v>
      </c>
      <c r="N651" s="19">
        <v>3</v>
      </c>
      <c r="O651" s="1">
        <v>0</v>
      </c>
      <c r="P651" s="19">
        <v>7</v>
      </c>
    </row>
    <row r="652" spans="1:16">
      <c r="A652" s="1">
        <v>651</v>
      </c>
      <c r="B652" s="1" t="s">
        <v>854</v>
      </c>
      <c r="C652" s="1" t="s">
        <v>855</v>
      </c>
      <c r="D652" s="1" t="str">
        <f>_xlfn.CONCAT(mmmm[[#This Row],[First Name]]," ",mmmm[[#This Row],[Last Name]])</f>
        <v>Yasmin Eamir</v>
      </c>
      <c r="E652" s="19" t="s">
        <v>27</v>
      </c>
      <c r="F652" s="11">
        <v>42795</v>
      </c>
      <c r="G652" s="19">
        <v>9</v>
      </c>
      <c r="H652" s="19" t="s">
        <v>31</v>
      </c>
      <c r="I652" s="19" t="s">
        <v>20</v>
      </c>
      <c r="J652" s="1" t="s">
        <v>39</v>
      </c>
      <c r="K652" s="19">
        <v>2360</v>
      </c>
      <c r="L652" s="19">
        <v>28320</v>
      </c>
      <c r="M652" s="19">
        <v>4.5</v>
      </c>
      <c r="N652" s="19">
        <v>0</v>
      </c>
      <c r="O652" s="1">
        <v>0</v>
      </c>
      <c r="P652" s="19">
        <v>1</v>
      </c>
    </row>
    <row r="653" spans="1:16">
      <c r="A653" s="1">
        <v>652</v>
      </c>
      <c r="B653" s="1" t="s">
        <v>36</v>
      </c>
      <c r="C653" s="1" t="s">
        <v>777</v>
      </c>
      <c r="D653" s="1" t="str">
        <f>_xlfn.CONCAT(mmmm[[#This Row],[First Name]]," ",mmmm[[#This Row],[Last Name]])</f>
        <v>Muhamad Haydar</v>
      </c>
      <c r="E653" s="19" t="s">
        <v>18</v>
      </c>
      <c r="F653" s="11">
        <v>44177</v>
      </c>
      <c r="G653" s="19">
        <v>5</v>
      </c>
      <c r="H653" s="19" t="s">
        <v>55</v>
      </c>
      <c r="I653" s="19" t="s">
        <v>32</v>
      </c>
      <c r="J653" s="1" t="s">
        <v>39</v>
      </c>
      <c r="K653" s="19">
        <v>2576</v>
      </c>
      <c r="L653" s="19">
        <v>30912</v>
      </c>
      <c r="M653" s="19">
        <v>1</v>
      </c>
      <c r="N653" s="19">
        <v>6</v>
      </c>
      <c r="O653" s="1">
        <v>0</v>
      </c>
      <c r="P653" s="19">
        <v>6</v>
      </c>
    </row>
    <row r="654" spans="1:16">
      <c r="A654" s="1">
        <v>653</v>
      </c>
      <c r="B654" s="1" t="s">
        <v>36</v>
      </c>
      <c r="C654" s="1" t="s">
        <v>856</v>
      </c>
      <c r="D654" s="1" t="str">
        <f>_xlfn.CONCAT(mmmm[[#This Row],[First Name]]," ",mmmm[[#This Row],[Last Name]])</f>
        <v>Muhamad Ratib</v>
      </c>
      <c r="E654" s="19" t="s">
        <v>18</v>
      </c>
      <c r="F654" s="11">
        <v>43793</v>
      </c>
      <c r="G654" s="19">
        <v>6</v>
      </c>
      <c r="H654" s="19" t="s">
        <v>44</v>
      </c>
      <c r="I654" s="19" t="s">
        <v>20</v>
      </c>
      <c r="J654" s="1" t="s">
        <v>33</v>
      </c>
      <c r="K654" s="19">
        <v>2376</v>
      </c>
      <c r="L654" s="19">
        <v>28512</v>
      </c>
      <c r="M654" s="19">
        <v>2</v>
      </c>
      <c r="N654" s="19">
        <v>6</v>
      </c>
      <c r="O654" s="1">
        <v>0</v>
      </c>
      <c r="P654" s="19">
        <v>57</v>
      </c>
    </row>
    <row r="655" spans="1:16">
      <c r="A655" s="1">
        <v>654</v>
      </c>
      <c r="B655" s="1" t="s">
        <v>438</v>
      </c>
      <c r="C655" s="1" t="s">
        <v>330</v>
      </c>
      <c r="D655" s="1" t="str">
        <f>_xlfn.CONCAT(mmmm[[#This Row],[First Name]]," ",mmmm[[#This Row],[Last Name]])</f>
        <v>Muayid Siedih</v>
      </c>
      <c r="E655" s="19" t="s">
        <v>18</v>
      </c>
      <c r="F655" s="11">
        <v>43681</v>
      </c>
      <c r="G655" s="19">
        <v>7</v>
      </c>
      <c r="H655" s="19" t="s">
        <v>55</v>
      </c>
      <c r="I655" s="19" t="s">
        <v>32</v>
      </c>
      <c r="J655" s="1" t="s">
        <v>39</v>
      </c>
      <c r="K655" s="19">
        <v>2924</v>
      </c>
      <c r="L655" s="19">
        <v>35088</v>
      </c>
      <c r="M655" s="19">
        <v>4.5</v>
      </c>
      <c r="N655" s="19">
        <v>0</v>
      </c>
      <c r="O655" s="1">
        <v>0</v>
      </c>
      <c r="P655" s="19">
        <v>10</v>
      </c>
    </row>
    <row r="656" spans="1:16">
      <c r="A656" s="1">
        <v>655</v>
      </c>
      <c r="B656" s="1" t="s">
        <v>358</v>
      </c>
      <c r="C656" s="1" t="s">
        <v>857</v>
      </c>
      <c r="D656" s="1" t="str">
        <f>_xlfn.CONCAT(mmmm[[#This Row],[First Name]]," ",mmmm[[#This Row],[Last Name]])</f>
        <v>Husam Alhamd</v>
      </c>
      <c r="E656" s="19" t="s">
        <v>18</v>
      </c>
      <c r="F656" s="11">
        <v>42785</v>
      </c>
      <c r="G656" s="19">
        <v>9</v>
      </c>
      <c r="H656" s="19" t="s">
        <v>79</v>
      </c>
      <c r="I656" s="19" t="s">
        <v>24</v>
      </c>
      <c r="J656" s="1" t="s">
        <v>21</v>
      </c>
      <c r="K656" s="19">
        <v>2548</v>
      </c>
      <c r="L656" s="19">
        <v>30576</v>
      </c>
      <c r="M656" s="19">
        <v>1</v>
      </c>
      <c r="N656" s="19">
        <v>0</v>
      </c>
      <c r="O656" s="1">
        <v>0</v>
      </c>
      <c r="P656" s="19">
        <v>10</v>
      </c>
    </row>
    <row r="657" spans="1:16">
      <c r="A657" s="1">
        <v>656</v>
      </c>
      <c r="B657" s="1" t="s">
        <v>858</v>
      </c>
      <c r="C657" s="1" t="s">
        <v>859</v>
      </c>
      <c r="D657" s="1" t="str">
        <f>_xlfn.CONCAT(mmmm[[#This Row],[First Name]]," ",mmmm[[#This Row],[Last Name]])</f>
        <v>Abdalkrim Fadal</v>
      </c>
      <c r="E657" s="19" t="s">
        <v>18</v>
      </c>
      <c r="F657" s="11">
        <v>43852</v>
      </c>
      <c r="G657" s="19">
        <v>6</v>
      </c>
      <c r="H657" s="19" t="s">
        <v>44</v>
      </c>
      <c r="I657" s="19" t="s">
        <v>24</v>
      </c>
      <c r="J657" s="1" t="s">
        <v>62</v>
      </c>
      <c r="K657" s="19">
        <v>841</v>
      </c>
      <c r="L657" s="19">
        <v>10092</v>
      </c>
      <c r="M657" s="19">
        <v>1</v>
      </c>
      <c r="N657" s="19">
        <v>4</v>
      </c>
      <c r="O657" s="1">
        <v>0</v>
      </c>
      <c r="P657" s="19">
        <v>7</v>
      </c>
    </row>
    <row r="658" spans="1:16">
      <c r="A658" s="1">
        <v>657</v>
      </c>
      <c r="B658" s="1" t="s">
        <v>58</v>
      </c>
      <c r="C658" s="1" t="s">
        <v>860</v>
      </c>
      <c r="D658" s="1" t="str">
        <f>_xlfn.CONCAT(mmmm[[#This Row],[First Name]]," ",mmmm[[#This Row],[Last Name]])</f>
        <v>Bayan Eurnus</v>
      </c>
      <c r="E658" s="19" t="s">
        <v>27</v>
      </c>
      <c r="F658" s="11">
        <v>43966</v>
      </c>
      <c r="G658" s="19">
        <v>6</v>
      </c>
      <c r="H658" s="19" t="s">
        <v>31</v>
      </c>
      <c r="I658" s="19" t="s">
        <v>20</v>
      </c>
      <c r="J658" s="1" t="s">
        <v>39</v>
      </c>
      <c r="K658" s="19">
        <v>3017</v>
      </c>
      <c r="L658" s="19">
        <v>36204</v>
      </c>
      <c r="M658" s="19">
        <v>3</v>
      </c>
      <c r="N658" s="19">
        <v>0</v>
      </c>
      <c r="O658" s="1">
        <v>0</v>
      </c>
      <c r="P658" s="19">
        <v>6</v>
      </c>
    </row>
    <row r="659" spans="1:16">
      <c r="A659" s="1">
        <v>658</v>
      </c>
      <c r="B659" s="1" t="s">
        <v>861</v>
      </c>
      <c r="C659" s="1" t="s">
        <v>862</v>
      </c>
      <c r="D659" s="1" t="str">
        <f>_xlfn.CONCAT(mmmm[[#This Row],[First Name]]," ",mmmm[[#This Row],[Last Name]])</f>
        <v>Abd Almueiyn Eitaya</v>
      </c>
      <c r="E659" s="19" t="s">
        <v>18</v>
      </c>
      <c r="F659" s="11">
        <v>43126</v>
      </c>
      <c r="G659" s="19">
        <v>8</v>
      </c>
      <c r="H659" s="19" t="s">
        <v>55</v>
      </c>
      <c r="I659" s="19" t="s">
        <v>32</v>
      </c>
      <c r="J659" s="1" t="s">
        <v>39</v>
      </c>
      <c r="K659" s="19">
        <v>1077</v>
      </c>
      <c r="L659" s="19">
        <v>12924</v>
      </c>
      <c r="M659" s="19">
        <v>5</v>
      </c>
      <c r="N659" s="19">
        <v>0</v>
      </c>
      <c r="O659" s="1">
        <v>0</v>
      </c>
      <c r="P659" s="19">
        <v>9</v>
      </c>
    </row>
    <row r="660" spans="1:16">
      <c r="A660" s="1">
        <v>659</v>
      </c>
      <c r="B660" s="1" t="s">
        <v>212</v>
      </c>
      <c r="C660" s="1" t="s">
        <v>863</v>
      </c>
      <c r="D660" s="1" t="str">
        <f>_xlfn.CONCAT(mmmm[[#This Row],[First Name]]," ",mmmm[[#This Row],[Last Name]])</f>
        <v>Sahar Qisam</v>
      </c>
      <c r="E660" s="19" t="s">
        <v>27</v>
      </c>
      <c r="F660" s="11">
        <v>43223</v>
      </c>
      <c r="G660" s="19">
        <v>8</v>
      </c>
      <c r="H660" s="19" t="s">
        <v>60</v>
      </c>
      <c r="I660" s="19" t="s">
        <v>20</v>
      </c>
      <c r="J660" s="1" t="s">
        <v>62</v>
      </c>
      <c r="K660" s="19">
        <v>3316</v>
      </c>
      <c r="L660" s="19">
        <v>39792</v>
      </c>
      <c r="M660" s="19">
        <v>4.5</v>
      </c>
      <c r="N660" s="19">
        <v>0</v>
      </c>
      <c r="O660" s="1">
        <v>0</v>
      </c>
      <c r="P660" s="19">
        <v>8</v>
      </c>
    </row>
    <row r="661" spans="1:16">
      <c r="A661" s="1">
        <v>660</v>
      </c>
      <c r="B661" s="1" t="s">
        <v>113</v>
      </c>
      <c r="C661" s="1" t="s">
        <v>390</v>
      </c>
      <c r="D661" s="1" t="str">
        <f>_xlfn.CONCAT(mmmm[[#This Row],[First Name]]," ",mmmm[[#This Row],[Last Name]])</f>
        <v>Rafat Musaa</v>
      </c>
      <c r="E661" s="19" t="s">
        <v>18</v>
      </c>
      <c r="F661" s="11">
        <v>43442</v>
      </c>
      <c r="G661" s="19">
        <v>7</v>
      </c>
      <c r="H661" s="19" t="s">
        <v>120</v>
      </c>
      <c r="I661" s="19" t="s">
        <v>50</v>
      </c>
      <c r="J661" s="1" t="s">
        <v>62</v>
      </c>
      <c r="K661" s="19">
        <v>2188</v>
      </c>
      <c r="L661" s="19">
        <v>26256</v>
      </c>
      <c r="M661" s="19">
        <v>4.5</v>
      </c>
      <c r="N661" s="19">
        <v>5</v>
      </c>
      <c r="O661" s="1">
        <v>0</v>
      </c>
      <c r="P661" s="19">
        <v>9</v>
      </c>
    </row>
    <row r="662" spans="1:16">
      <c r="A662" s="1">
        <v>661</v>
      </c>
      <c r="B662" s="1" t="s">
        <v>864</v>
      </c>
      <c r="C662" s="1" t="s">
        <v>865</v>
      </c>
      <c r="D662" s="1" t="str">
        <f>_xlfn.CONCAT(mmmm[[#This Row],[First Name]]," ",mmmm[[#This Row],[Last Name]])</f>
        <v>Shafiq Almalih</v>
      </c>
      <c r="E662" s="19" t="s">
        <v>18</v>
      </c>
      <c r="F662" s="11">
        <v>43500</v>
      </c>
      <c r="G662" s="19">
        <v>7</v>
      </c>
      <c r="H662" s="19" t="s">
        <v>120</v>
      </c>
      <c r="I662" s="19" t="s">
        <v>32</v>
      </c>
      <c r="J662" s="1" t="s">
        <v>62</v>
      </c>
      <c r="K662" s="19">
        <v>1684</v>
      </c>
      <c r="L662" s="19">
        <v>20208</v>
      </c>
      <c r="M662" s="19">
        <v>5</v>
      </c>
      <c r="N662" s="19">
        <v>0</v>
      </c>
      <c r="O662" s="1">
        <v>0</v>
      </c>
      <c r="P662" s="19">
        <v>6</v>
      </c>
    </row>
    <row r="663" spans="1:16">
      <c r="A663" s="1">
        <v>662</v>
      </c>
      <c r="B663" s="1" t="s">
        <v>866</v>
      </c>
      <c r="C663" s="1" t="s">
        <v>867</v>
      </c>
      <c r="D663" s="1" t="str">
        <f>_xlfn.CONCAT(mmmm[[#This Row],[First Name]]," ",mmmm[[#This Row],[Last Name]])</f>
        <v>Raghad Aghasi</v>
      </c>
      <c r="E663" s="19" t="s">
        <v>27</v>
      </c>
      <c r="F663" s="11">
        <v>43783</v>
      </c>
      <c r="G663" s="19">
        <v>6</v>
      </c>
      <c r="H663" s="19" t="s">
        <v>44</v>
      </c>
      <c r="I663" s="19" t="s">
        <v>20</v>
      </c>
      <c r="J663" s="1" t="s">
        <v>33</v>
      </c>
      <c r="K663" s="19">
        <v>716</v>
      </c>
      <c r="L663" s="19">
        <v>8592</v>
      </c>
      <c r="M663" s="19">
        <v>3</v>
      </c>
      <c r="N663" s="19">
        <v>0</v>
      </c>
      <c r="O663" s="1">
        <v>0</v>
      </c>
      <c r="P663" s="19">
        <v>8</v>
      </c>
    </row>
    <row r="664" spans="1:16">
      <c r="A664" s="1">
        <v>663</v>
      </c>
      <c r="B664" s="1" t="s">
        <v>414</v>
      </c>
      <c r="C664" s="1" t="s">
        <v>477</v>
      </c>
      <c r="D664" s="1" t="str">
        <f>_xlfn.CONCAT(mmmm[[#This Row],[First Name]]," ",mmmm[[#This Row],[Last Name]])</f>
        <v>Ruba Alhumwi</v>
      </c>
      <c r="E664" s="19" t="s">
        <v>27</v>
      </c>
      <c r="F664" s="11">
        <v>43604</v>
      </c>
      <c r="G664" s="19">
        <v>7</v>
      </c>
      <c r="H664" s="19" t="s">
        <v>31</v>
      </c>
      <c r="I664" s="19" t="s">
        <v>20</v>
      </c>
      <c r="J664" s="1" t="s">
        <v>39</v>
      </c>
      <c r="K664" s="19">
        <v>2703</v>
      </c>
      <c r="L664" s="19">
        <v>32436</v>
      </c>
      <c r="M664" s="19">
        <v>2</v>
      </c>
      <c r="N664" s="19">
        <v>0</v>
      </c>
      <c r="O664" s="1">
        <v>0</v>
      </c>
      <c r="P664" s="19">
        <v>4</v>
      </c>
    </row>
    <row r="665" spans="1:16">
      <c r="A665" s="1">
        <v>664</v>
      </c>
      <c r="B665" s="1" t="s">
        <v>73</v>
      </c>
      <c r="C665" s="1" t="s">
        <v>868</v>
      </c>
      <c r="D665" s="1" t="str">
        <f>_xlfn.CONCAT(mmmm[[#This Row],[First Name]]," ",mmmm[[#This Row],[Last Name]])</f>
        <v>Bilal Alqalish</v>
      </c>
      <c r="E665" s="19" t="s">
        <v>18</v>
      </c>
      <c r="F665" s="11">
        <v>43289</v>
      </c>
      <c r="G665" s="19">
        <v>8</v>
      </c>
      <c r="H665" s="19" t="s">
        <v>75</v>
      </c>
      <c r="I665" s="19" t="s">
        <v>20</v>
      </c>
      <c r="J665" s="1" t="s">
        <v>560</v>
      </c>
      <c r="K665" s="19">
        <v>2361</v>
      </c>
      <c r="L665" s="19">
        <v>28332</v>
      </c>
      <c r="M665" s="19">
        <v>5</v>
      </c>
      <c r="N665" s="19">
        <v>0</v>
      </c>
      <c r="O665" s="1">
        <v>0</v>
      </c>
      <c r="P665" s="19">
        <v>1</v>
      </c>
    </row>
    <row r="666" spans="1:16">
      <c r="A666" s="1">
        <v>665</v>
      </c>
      <c r="B666" s="1" t="s">
        <v>36</v>
      </c>
      <c r="C666" s="1" t="s">
        <v>144</v>
      </c>
      <c r="D666" s="1" t="str">
        <f>_xlfn.CONCAT(mmmm[[#This Row],[First Name]]," ",mmmm[[#This Row],[Last Name]])</f>
        <v>Muhamad Almisri</v>
      </c>
      <c r="E666" s="19" t="s">
        <v>18</v>
      </c>
      <c r="F666" s="11">
        <v>44141</v>
      </c>
      <c r="G666" s="19">
        <v>5</v>
      </c>
      <c r="H666" s="19" t="s">
        <v>31</v>
      </c>
      <c r="I666" s="19" t="s">
        <v>20</v>
      </c>
      <c r="J666" s="1" t="s">
        <v>33</v>
      </c>
      <c r="K666" s="19">
        <v>1797</v>
      </c>
      <c r="L666" s="19">
        <v>21564</v>
      </c>
      <c r="M666" s="19">
        <v>1</v>
      </c>
      <c r="N666" s="19">
        <v>6</v>
      </c>
      <c r="O666" s="1">
        <v>0</v>
      </c>
      <c r="P666" s="19">
        <v>7</v>
      </c>
    </row>
    <row r="667" spans="1:16">
      <c r="A667" s="1">
        <v>666</v>
      </c>
      <c r="B667" s="1" t="s">
        <v>66</v>
      </c>
      <c r="C667" s="1" t="s">
        <v>869</v>
      </c>
      <c r="D667" s="1" t="str">
        <f>_xlfn.CONCAT(mmmm[[#This Row],[First Name]]," ",mmmm[[#This Row],[Last Name]])</f>
        <v>Husayn Hawria</v>
      </c>
      <c r="E667" s="19" t="s">
        <v>18</v>
      </c>
      <c r="F667" s="11">
        <v>43995</v>
      </c>
      <c r="G667" s="19">
        <v>6</v>
      </c>
      <c r="H667" s="19" t="s">
        <v>95</v>
      </c>
      <c r="I667" s="19" t="s">
        <v>20</v>
      </c>
      <c r="J667" s="1" t="s">
        <v>560</v>
      </c>
      <c r="K667" s="19">
        <v>2252</v>
      </c>
      <c r="L667" s="19">
        <v>27024</v>
      </c>
      <c r="M667" s="19">
        <v>3</v>
      </c>
      <c r="N667" s="19">
        <v>0</v>
      </c>
      <c r="O667" s="1">
        <v>0</v>
      </c>
      <c r="P667" s="19">
        <v>2</v>
      </c>
    </row>
    <row r="668" spans="1:16">
      <c r="A668" s="1">
        <v>667</v>
      </c>
      <c r="B668" s="1" t="s">
        <v>504</v>
      </c>
      <c r="C668" s="1" t="s">
        <v>870</v>
      </c>
      <c r="D668" s="1" t="str">
        <f>_xlfn.CONCAT(mmmm[[#This Row],[First Name]]," ",mmmm[[#This Row],[Last Name]])</f>
        <v>Safa Alshahadat</v>
      </c>
      <c r="E668" s="19" t="s">
        <v>27</v>
      </c>
      <c r="F668" s="11">
        <v>43373</v>
      </c>
      <c r="G668" s="19">
        <v>7</v>
      </c>
      <c r="H668" s="19" t="s">
        <v>31</v>
      </c>
      <c r="I668" s="19" t="s">
        <v>20</v>
      </c>
      <c r="J668" s="1" t="s">
        <v>39</v>
      </c>
      <c r="K668" s="19">
        <v>2486</v>
      </c>
      <c r="L668" s="19">
        <v>29832</v>
      </c>
      <c r="M668" s="19">
        <v>5</v>
      </c>
      <c r="N668" s="19">
        <v>5</v>
      </c>
      <c r="O668" s="1">
        <v>2</v>
      </c>
      <c r="P668" s="19">
        <v>9</v>
      </c>
    </row>
    <row r="669" spans="1:16">
      <c r="A669" s="1">
        <v>668</v>
      </c>
      <c r="B669" s="1" t="s">
        <v>34</v>
      </c>
      <c r="C669" s="1" t="s">
        <v>871</v>
      </c>
      <c r="D669" s="1" t="str">
        <f>_xlfn.CONCAT(mmmm[[#This Row],[First Name]]," ",mmmm[[#This Row],[Last Name]])</f>
        <v>Ahmad Aldiyk</v>
      </c>
      <c r="E669" s="19" t="s">
        <v>18</v>
      </c>
      <c r="F669" s="11">
        <v>43995</v>
      </c>
      <c r="G669" s="19">
        <v>6</v>
      </c>
      <c r="H669" s="19" t="s">
        <v>31</v>
      </c>
      <c r="I669" s="19" t="s">
        <v>20</v>
      </c>
      <c r="J669" s="1" t="s">
        <v>39</v>
      </c>
      <c r="K669" s="19">
        <v>1197</v>
      </c>
      <c r="L669" s="19">
        <v>14364</v>
      </c>
      <c r="M669" s="19">
        <v>2</v>
      </c>
      <c r="N669" s="19">
        <v>4</v>
      </c>
      <c r="O669" s="1">
        <v>0</v>
      </c>
      <c r="P669" s="19">
        <v>8</v>
      </c>
    </row>
    <row r="670" spans="1:16">
      <c r="A670" s="1">
        <v>669</v>
      </c>
      <c r="B670" s="1" t="s">
        <v>872</v>
      </c>
      <c r="C670" s="1" t="s">
        <v>873</v>
      </c>
      <c r="D670" s="1" t="str">
        <f>_xlfn.CONCAT(mmmm[[#This Row],[First Name]]," ",mmmm[[#This Row],[Last Name]])</f>
        <v>Hind Almueasaeas</v>
      </c>
      <c r="E670" s="19" t="s">
        <v>27</v>
      </c>
      <c r="F670" s="11">
        <v>43590</v>
      </c>
      <c r="G670" s="19">
        <v>7</v>
      </c>
      <c r="H670" s="19" t="s">
        <v>55</v>
      </c>
      <c r="I670" s="19" t="s">
        <v>24</v>
      </c>
      <c r="J670" s="1" t="s">
        <v>39</v>
      </c>
      <c r="K670" s="19">
        <v>3389</v>
      </c>
      <c r="L670" s="19">
        <v>40668</v>
      </c>
      <c r="M670" s="19">
        <v>3</v>
      </c>
      <c r="N670" s="19">
        <v>1</v>
      </c>
      <c r="O670" s="1">
        <v>0</v>
      </c>
      <c r="P670" s="19">
        <v>7</v>
      </c>
    </row>
    <row r="671" spans="1:16">
      <c r="A671" s="1">
        <v>670</v>
      </c>
      <c r="B671" s="1" t="s">
        <v>217</v>
      </c>
      <c r="C671" s="1" t="s">
        <v>874</v>
      </c>
      <c r="D671" s="1" t="str">
        <f>_xlfn.CONCAT(mmmm[[#This Row],[First Name]]," ",mmmm[[#This Row],[Last Name]])</f>
        <v>Dania Earmush</v>
      </c>
      <c r="E671" s="19" t="s">
        <v>27</v>
      </c>
      <c r="F671" s="11">
        <v>43800</v>
      </c>
      <c r="G671" s="19">
        <v>6</v>
      </c>
      <c r="H671" s="19" t="s">
        <v>38</v>
      </c>
      <c r="I671" s="19" t="s">
        <v>32</v>
      </c>
      <c r="J671" s="1" t="s">
        <v>33</v>
      </c>
      <c r="K671" s="19">
        <v>2760</v>
      </c>
      <c r="L671" s="19">
        <v>33120</v>
      </c>
      <c r="M671" s="19">
        <v>1</v>
      </c>
      <c r="N671" s="19">
        <v>6</v>
      </c>
      <c r="O671" s="1">
        <v>6</v>
      </c>
      <c r="P671" s="19">
        <v>1</v>
      </c>
    </row>
    <row r="672" spans="1:16">
      <c r="A672" s="1">
        <v>671</v>
      </c>
      <c r="B672" s="1" t="s">
        <v>215</v>
      </c>
      <c r="C672" s="1" t="s">
        <v>875</v>
      </c>
      <c r="D672" s="1" t="str">
        <f>_xlfn.CONCAT(mmmm[[#This Row],[First Name]]," ",mmmm[[#This Row],[Last Name]])</f>
        <v>Ayly Bahriin</v>
      </c>
      <c r="E672" s="19" t="s">
        <v>18</v>
      </c>
      <c r="F672" s="11">
        <v>42992</v>
      </c>
      <c r="G672" s="19">
        <v>8</v>
      </c>
      <c r="H672" s="19" t="s">
        <v>90</v>
      </c>
      <c r="I672" s="19" t="s">
        <v>24</v>
      </c>
      <c r="J672" s="1" t="s">
        <v>33</v>
      </c>
      <c r="K672" s="19">
        <v>1232</v>
      </c>
      <c r="L672" s="19">
        <v>14784</v>
      </c>
      <c r="M672" s="19">
        <v>5</v>
      </c>
      <c r="N672" s="19">
        <v>3</v>
      </c>
      <c r="O672" s="1">
        <v>0</v>
      </c>
      <c r="P672" s="19">
        <v>10</v>
      </c>
    </row>
    <row r="673" spans="1:16">
      <c r="A673" s="1">
        <v>672</v>
      </c>
      <c r="B673" s="1" t="s">
        <v>608</v>
      </c>
      <c r="C673" s="1" t="s">
        <v>876</v>
      </c>
      <c r="D673" s="1" t="str">
        <f>_xlfn.CONCAT(mmmm[[#This Row],[First Name]]," ",mmmm[[#This Row],[Last Name]])</f>
        <v>Jihan Nadir</v>
      </c>
      <c r="E673" s="19" t="s">
        <v>27</v>
      </c>
      <c r="F673" s="11">
        <v>43573</v>
      </c>
      <c r="G673" s="19">
        <v>7</v>
      </c>
      <c r="H673" s="19" t="s">
        <v>55</v>
      </c>
      <c r="I673" s="19" t="s">
        <v>32</v>
      </c>
      <c r="J673" s="1" t="s">
        <v>39</v>
      </c>
      <c r="K673" s="19">
        <v>1045</v>
      </c>
      <c r="L673" s="19">
        <v>12540</v>
      </c>
      <c r="M673" s="19">
        <v>5</v>
      </c>
      <c r="N673" s="19">
        <v>6</v>
      </c>
      <c r="O673" s="1">
        <v>0</v>
      </c>
      <c r="P673" s="19">
        <v>4</v>
      </c>
    </row>
    <row r="674" spans="1:16">
      <c r="A674" s="1">
        <v>673</v>
      </c>
      <c r="B674" s="1" t="s">
        <v>36</v>
      </c>
      <c r="C674" s="1" t="s">
        <v>877</v>
      </c>
      <c r="D674" s="1" t="str">
        <f>_xlfn.CONCAT(mmmm[[#This Row],[First Name]]," ",mmmm[[#This Row],[Last Name]])</f>
        <v>Muhamad Sharif Aldaghly</v>
      </c>
      <c r="E674" s="19" t="s">
        <v>18</v>
      </c>
      <c r="F674" s="11">
        <v>43104</v>
      </c>
      <c r="G674" s="19">
        <v>8</v>
      </c>
      <c r="H674" s="19" t="s">
        <v>52</v>
      </c>
      <c r="I674" s="19" t="s">
        <v>20</v>
      </c>
      <c r="J674" s="1" t="s">
        <v>21</v>
      </c>
      <c r="K674" s="19">
        <v>3257</v>
      </c>
      <c r="L674" s="19">
        <v>39084</v>
      </c>
      <c r="M674" s="19">
        <v>3</v>
      </c>
      <c r="N674" s="19">
        <v>0</v>
      </c>
      <c r="O674" s="1">
        <v>0</v>
      </c>
      <c r="P674" s="19">
        <v>6</v>
      </c>
    </row>
    <row r="675" spans="1:16">
      <c r="A675" s="1">
        <v>674</v>
      </c>
      <c r="B675" s="1" t="s">
        <v>878</v>
      </c>
      <c r="C675" s="1" t="s">
        <v>879</v>
      </c>
      <c r="D675" s="1" t="str">
        <f>_xlfn.CONCAT(mmmm[[#This Row],[First Name]]," ",mmmm[[#This Row],[Last Name]])</f>
        <v>Emara bwalsibae</v>
      </c>
      <c r="E675" s="19" t="s">
        <v>27</v>
      </c>
      <c r="F675" s="11">
        <v>43160</v>
      </c>
      <c r="G675" s="19">
        <v>8</v>
      </c>
      <c r="H675" s="19" t="s">
        <v>55</v>
      </c>
      <c r="I675" s="19" t="s">
        <v>20</v>
      </c>
      <c r="J675" s="1" t="s">
        <v>62</v>
      </c>
      <c r="K675" s="19">
        <v>3026</v>
      </c>
      <c r="L675" s="19">
        <v>36312</v>
      </c>
      <c r="M675" s="19">
        <v>3</v>
      </c>
      <c r="N675" s="19">
        <v>4</v>
      </c>
      <c r="O675" s="1">
        <v>0</v>
      </c>
      <c r="P675" s="19">
        <v>1</v>
      </c>
    </row>
    <row r="676" spans="1:16">
      <c r="A676" s="1">
        <v>675</v>
      </c>
      <c r="B676" s="1" t="s">
        <v>880</v>
      </c>
      <c r="C676" s="1" t="s">
        <v>881</v>
      </c>
      <c r="D676" s="1" t="str">
        <f>_xlfn.CONCAT(mmmm[[#This Row],[First Name]]," ",mmmm[[#This Row],[Last Name]])</f>
        <v>Razzan Alhusayni</v>
      </c>
      <c r="E676" s="19" t="s">
        <v>27</v>
      </c>
      <c r="F676" s="11">
        <v>43766</v>
      </c>
      <c r="G676" s="19">
        <v>6</v>
      </c>
      <c r="H676" s="19" t="s">
        <v>79</v>
      </c>
      <c r="I676" s="19" t="s">
        <v>20</v>
      </c>
      <c r="J676" s="1" t="s">
        <v>39</v>
      </c>
      <c r="K676" s="19">
        <v>1898</v>
      </c>
      <c r="L676" s="19">
        <v>22776</v>
      </c>
      <c r="M676" s="19">
        <v>4.5</v>
      </c>
      <c r="N676" s="19">
        <v>1</v>
      </c>
      <c r="O676" s="1">
        <v>0</v>
      </c>
      <c r="P676" s="19">
        <v>2</v>
      </c>
    </row>
    <row r="677" spans="1:16">
      <c r="A677" s="1">
        <v>676</v>
      </c>
      <c r="B677" s="1" t="s">
        <v>882</v>
      </c>
      <c r="C677" s="1" t="s">
        <v>883</v>
      </c>
      <c r="D677" s="1" t="str">
        <f>_xlfn.CONCAT(mmmm[[#This Row],[First Name]]," ",mmmm[[#This Row],[Last Name]])</f>
        <v>Ghassan Aljamal</v>
      </c>
      <c r="E677" s="19" t="s">
        <v>18</v>
      </c>
      <c r="F677" s="11">
        <v>43275</v>
      </c>
      <c r="G677" s="19">
        <v>8</v>
      </c>
      <c r="H677" s="19" t="s">
        <v>31</v>
      </c>
      <c r="I677" s="19" t="s">
        <v>20</v>
      </c>
      <c r="J677" s="1" t="s">
        <v>62</v>
      </c>
      <c r="K677" s="19">
        <v>2778</v>
      </c>
      <c r="L677" s="19">
        <v>33336</v>
      </c>
      <c r="M677" s="19">
        <v>3</v>
      </c>
      <c r="N677" s="19">
        <v>2</v>
      </c>
      <c r="O677" s="1">
        <v>0</v>
      </c>
      <c r="P677" s="19">
        <v>20</v>
      </c>
    </row>
    <row r="678" spans="1:16">
      <c r="A678" s="1">
        <v>677</v>
      </c>
      <c r="B678" s="1" t="s">
        <v>22</v>
      </c>
      <c r="C678" s="1" t="s">
        <v>884</v>
      </c>
      <c r="D678" s="1" t="str">
        <f>_xlfn.CONCAT(mmmm[[#This Row],[First Name]]," ",mmmm[[#This Row],[Last Name]])</f>
        <v>Omar Kahulus</v>
      </c>
      <c r="E678" s="19" t="s">
        <v>18</v>
      </c>
      <c r="F678" s="11">
        <v>43104</v>
      </c>
      <c r="G678" s="19">
        <v>8</v>
      </c>
      <c r="H678" s="19" t="s">
        <v>79</v>
      </c>
      <c r="I678" s="19" t="s">
        <v>50</v>
      </c>
      <c r="J678" s="1" t="s">
        <v>39</v>
      </c>
      <c r="K678" s="19">
        <v>2880</v>
      </c>
      <c r="L678" s="19">
        <v>34560</v>
      </c>
      <c r="M678" s="19">
        <v>2</v>
      </c>
      <c r="N678" s="19">
        <v>4</v>
      </c>
      <c r="O678" s="1">
        <v>0</v>
      </c>
      <c r="P678" s="19">
        <v>5</v>
      </c>
    </row>
    <row r="679" spans="1:16">
      <c r="A679" s="1">
        <v>678</v>
      </c>
      <c r="B679" s="1" t="s">
        <v>274</v>
      </c>
      <c r="C679" s="1" t="s">
        <v>885</v>
      </c>
      <c r="D679" s="1" t="str">
        <f>_xlfn.CONCAT(mmmm[[#This Row],[First Name]]," ",mmmm[[#This Row],[Last Name]])</f>
        <v>Amjad Nasir</v>
      </c>
      <c r="E679" s="19" t="s">
        <v>18</v>
      </c>
      <c r="F679" s="11">
        <v>43538</v>
      </c>
      <c r="G679" s="19">
        <v>7</v>
      </c>
      <c r="H679" s="19" t="s">
        <v>354</v>
      </c>
      <c r="I679" s="19" t="s">
        <v>24</v>
      </c>
      <c r="J679" s="1" t="s">
        <v>33</v>
      </c>
      <c r="K679" s="19">
        <v>2815</v>
      </c>
      <c r="L679" s="19">
        <v>33780</v>
      </c>
      <c r="M679" s="19">
        <v>3</v>
      </c>
      <c r="N679" s="19">
        <v>6</v>
      </c>
      <c r="O679" s="1">
        <v>0</v>
      </c>
      <c r="P679" s="19">
        <v>2</v>
      </c>
    </row>
    <row r="680" spans="1:16">
      <c r="A680" s="1">
        <v>679</v>
      </c>
      <c r="B680" s="1" t="s">
        <v>886</v>
      </c>
      <c r="C680" s="1" t="s">
        <v>887</v>
      </c>
      <c r="D680" s="1" t="str">
        <f>_xlfn.CONCAT(mmmm[[#This Row],[First Name]]," ",mmmm[[#This Row],[Last Name]])</f>
        <v>Iman Ghrz Aldiyn</v>
      </c>
      <c r="E680" s="19" t="s">
        <v>27</v>
      </c>
      <c r="F680" s="11">
        <v>43448</v>
      </c>
      <c r="G680" s="19">
        <v>7</v>
      </c>
      <c r="H680" s="19" t="s">
        <v>47</v>
      </c>
      <c r="I680" s="19" t="s">
        <v>50</v>
      </c>
      <c r="J680" s="1" t="s">
        <v>560</v>
      </c>
      <c r="K680" s="19">
        <v>1134</v>
      </c>
      <c r="L680" s="19">
        <v>13608</v>
      </c>
      <c r="M680" s="19">
        <v>2</v>
      </c>
      <c r="N680" s="19">
        <v>0</v>
      </c>
      <c r="O680" s="1">
        <v>0</v>
      </c>
      <c r="P680" s="19">
        <v>14</v>
      </c>
    </row>
    <row r="681" spans="1:16">
      <c r="A681" s="1">
        <v>680</v>
      </c>
      <c r="B681" s="1" t="s">
        <v>888</v>
      </c>
      <c r="C681" s="1" t="s">
        <v>889</v>
      </c>
      <c r="D681" s="1" t="str">
        <f>_xlfn.CONCAT(mmmm[[#This Row],[First Name]]," ",mmmm[[#This Row],[Last Name]])</f>
        <v>Alysia Alyaghshiu</v>
      </c>
      <c r="E681" s="19" t="s">
        <v>27</v>
      </c>
      <c r="F681" s="11">
        <v>43757</v>
      </c>
      <c r="G681" s="19">
        <v>6</v>
      </c>
      <c r="H681" s="19" t="s">
        <v>78</v>
      </c>
      <c r="I681" s="19" t="s">
        <v>32</v>
      </c>
      <c r="J681" s="1" t="s">
        <v>21</v>
      </c>
      <c r="K681" s="19">
        <v>3334</v>
      </c>
      <c r="L681" s="19">
        <v>40008</v>
      </c>
      <c r="M681" s="19">
        <v>1</v>
      </c>
      <c r="N681" s="19">
        <v>0</v>
      </c>
      <c r="O681" s="1">
        <v>0</v>
      </c>
      <c r="P681" s="19">
        <v>4</v>
      </c>
    </row>
    <row r="682" spans="1:16">
      <c r="A682" s="1">
        <v>681</v>
      </c>
      <c r="B682" s="1" t="s">
        <v>69</v>
      </c>
      <c r="C682" s="1" t="s">
        <v>327</v>
      </c>
      <c r="D682" s="1" t="str">
        <f>_xlfn.CONCAT(mmmm[[#This Row],[First Name]]," ",mmmm[[#This Row],[Last Name]])</f>
        <v>Ayham Alqadi</v>
      </c>
      <c r="E682" s="19" t="s">
        <v>18</v>
      </c>
      <c r="F682" s="11">
        <v>43981</v>
      </c>
      <c r="G682" s="19">
        <v>6</v>
      </c>
      <c r="H682" s="19" t="s">
        <v>31</v>
      </c>
      <c r="I682" s="19" t="s">
        <v>50</v>
      </c>
      <c r="J682" s="1" t="s">
        <v>560</v>
      </c>
      <c r="K682" s="19">
        <v>2574</v>
      </c>
      <c r="L682" s="19">
        <v>30888</v>
      </c>
      <c r="M682" s="19">
        <v>3</v>
      </c>
      <c r="N682" s="19">
        <v>3</v>
      </c>
      <c r="O682" s="1">
        <v>0</v>
      </c>
      <c r="P682" s="19">
        <v>4</v>
      </c>
    </row>
    <row r="683" spans="1:16">
      <c r="A683" s="1">
        <v>682</v>
      </c>
      <c r="B683" s="1" t="s">
        <v>328</v>
      </c>
      <c r="C683" s="1" t="s">
        <v>890</v>
      </c>
      <c r="D683" s="1" t="str">
        <f>_xlfn.CONCAT(mmmm[[#This Row],[First Name]]," ",mmmm[[#This Row],[Last Name]])</f>
        <v>Diea Shuelan</v>
      </c>
      <c r="E683" s="19" t="s">
        <v>18</v>
      </c>
      <c r="F683" s="11">
        <v>43530</v>
      </c>
      <c r="G683" s="19">
        <v>7</v>
      </c>
      <c r="H683" s="19" t="s">
        <v>31</v>
      </c>
      <c r="I683" s="19" t="s">
        <v>20</v>
      </c>
      <c r="J683" s="1" t="s">
        <v>21</v>
      </c>
      <c r="K683" s="19">
        <v>1123</v>
      </c>
      <c r="L683" s="19">
        <v>13476</v>
      </c>
      <c r="M683" s="19">
        <v>1</v>
      </c>
      <c r="N683" s="19">
        <v>0</v>
      </c>
      <c r="O683" s="1">
        <v>0</v>
      </c>
      <c r="P683" s="19">
        <v>7</v>
      </c>
    </row>
    <row r="684" spans="1:16">
      <c r="A684" s="1">
        <v>683</v>
      </c>
      <c r="B684" s="1" t="s">
        <v>358</v>
      </c>
      <c r="C684" s="1" t="s">
        <v>760</v>
      </c>
      <c r="D684" s="1" t="str">
        <f>_xlfn.CONCAT(mmmm[[#This Row],[First Name]]," ",mmmm[[#This Row],[Last Name]])</f>
        <v>Husam Alsaed</v>
      </c>
      <c r="E684" s="19" t="s">
        <v>18</v>
      </c>
      <c r="F684" s="11">
        <v>42502</v>
      </c>
      <c r="G684" s="19">
        <v>10</v>
      </c>
      <c r="H684" s="19" t="s">
        <v>44</v>
      </c>
      <c r="I684" s="19" t="s">
        <v>32</v>
      </c>
      <c r="J684" s="1" t="s">
        <v>33</v>
      </c>
      <c r="K684" s="19">
        <v>2147</v>
      </c>
      <c r="L684" s="19">
        <v>25764</v>
      </c>
      <c r="M684" s="19">
        <v>3</v>
      </c>
      <c r="N684" s="19">
        <v>0</v>
      </c>
      <c r="O684" s="1">
        <v>4</v>
      </c>
      <c r="P684" s="19">
        <v>2</v>
      </c>
    </row>
    <row r="685" spans="1:16">
      <c r="A685" s="1">
        <v>684</v>
      </c>
      <c r="B685" s="1" t="s">
        <v>891</v>
      </c>
      <c r="C685" s="1" t="s">
        <v>892</v>
      </c>
      <c r="D685" s="1" t="str">
        <f>_xlfn.CONCAT(mmmm[[#This Row],[First Name]]," ",mmmm[[#This Row],[Last Name]])</f>
        <v>Asd Bwfaeur</v>
      </c>
      <c r="E685" s="19" t="s">
        <v>18</v>
      </c>
      <c r="F685" s="11">
        <v>42913</v>
      </c>
      <c r="G685" s="19">
        <v>9</v>
      </c>
      <c r="H685" s="19" t="s">
        <v>52</v>
      </c>
      <c r="I685" s="19" t="s">
        <v>20</v>
      </c>
      <c r="J685" s="1" t="s">
        <v>33</v>
      </c>
      <c r="K685" s="19">
        <v>2929</v>
      </c>
      <c r="L685" s="19">
        <v>35148</v>
      </c>
      <c r="M685" s="19">
        <v>4.5</v>
      </c>
      <c r="N685" s="19">
        <v>0</v>
      </c>
      <c r="O685" s="1">
        <v>0</v>
      </c>
      <c r="P685" s="19">
        <v>2</v>
      </c>
    </row>
    <row r="686" spans="1:16">
      <c r="A686" s="1">
        <v>685</v>
      </c>
      <c r="B686" s="1" t="s">
        <v>893</v>
      </c>
      <c r="C686" s="1" t="s">
        <v>894</v>
      </c>
      <c r="D686" s="1" t="str">
        <f>_xlfn.CONCAT(mmmm[[#This Row],[First Name]]," ",mmmm[[#This Row],[Last Name]])</f>
        <v>Sari Hanna</v>
      </c>
      <c r="E686" s="19" t="s">
        <v>18</v>
      </c>
      <c r="F686" s="11">
        <v>43977</v>
      </c>
      <c r="G686" s="19">
        <v>6</v>
      </c>
      <c r="H686" s="19" t="s">
        <v>60</v>
      </c>
      <c r="I686" s="19" t="s">
        <v>296</v>
      </c>
      <c r="J686" s="1" t="s">
        <v>62</v>
      </c>
      <c r="K686" s="19">
        <v>1452</v>
      </c>
      <c r="L686" s="19">
        <v>17424</v>
      </c>
      <c r="M686" s="19">
        <v>2</v>
      </c>
      <c r="N686" s="19">
        <v>0</v>
      </c>
      <c r="O686" s="1">
        <v>3</v>
      </c>
      <c r="P686" s="19">
        <v>1</v>
      </c>
    </row>
    <row r="687" spans="1:16">
      <c r="A687" s="1">
        <v>686</v>
      </c>
      <c r="B687" s="1" t="s">
        <v>895</v>
      </c>
      <c r="C687" s="1" t="s">
        <v>896</v>
      </c>
      <c r="D687" s="1" t="str">
        <f>_xlfn.CONCAT(mmmm[[#This Row],[First Name]]," ",mmmm[[#This Row],[Last Name]])</f>
        <v>Eubayda Kayd</v>
      </c>
      <c r="E687" s="19" t="s">
        <v>18</v>
      </c>
      <c r="F687" s="11">
        <v>43985</v>
      </c>
      <c r="G687" s="19">
        <v>6</v>
      </c>
      <c r="H687" s="19" t="s">
        <v>55</v>
      </c>
      <c r="I687" s="19" t="s">
        <v>20</v>
      </c>
      <c r="J687" s="1" t="s">
        <v>39</v>
      </c>
      <c r="K687" s="19">
        <v>3237</v>
      </c>
      <c r="L687" s="19">
        <v>38844</v>
      </c>
      <c r="M687" s="19">
        <v>3</v>
      </c>
      <c r="N687" s="19">
        <v>1</v>
      </c>
      <c r="O687" s="1">
        <v>0</v>
      </c>
      <c r="P687" s="19">
        <v>4</v>
      </c>
    </row>
    <row r="688" spans="1:16">
      <c r="A688" s="1">
        <v>687</v>
      </c>
      <c r="B688" s="1" t="s">
        <v>292</v>
      </c>
      <c r="C688" s="1" t="s">
        <v>897</v>
      </c>
      <c r="D688" s="1" t="str">
        <f>_xlfn.CONCAT(mmmm[[#This Row],[First Name]]," ",mmmm[[#This Row],[Last Name]])</f>
        <v>Khalil Alkalu</v>
      </c>
      <c r="E688" s="19" t="s">
        <v>18</v>
      </c>
      <c r="F688" s="11">
        <v>42927</v>
      </c>
      <c r="G688" s="19">
        <v>9</v>
      </c>
      <c r="H688" s="19" t="s">
        <v>55</v>
      </c>
      <c r="I688" s="19" t="s">
        <v>20</v>
      </c>
      <c r="J688" s="1" t="s">
        <v>39</v>
      </c>
      <c r="K688" s="19">
        <v>2819</v>
      </c>
      <c r="L688" s="19">
        <v>33828</v>
      </c>
      <c r="M688" s="19">
        <v>5</v>
      </c>
      <c r="N688" s="19">
        <v>0</v>
      </c>
      <c r="O688" s="1">
        <v>0</v>
      </c>
      <c r="P688" s="19">
        <v>0</v>
      </c>
    </row>
    <row r="689" spans="1:16">
      <c r="A689" s="1">
        <v>688</v>
      </c>
      <c r="B689" s="1" t="s">
        <v>36</v>
      </c>
      <c r="C689" s="1" t="s">
        <v>898</v>
      </c>
      <c r="D689" s="1" t="str">
        <f>_xlfn.CONCAT(mmmm[[#This Row],[First Name]]," ",mmmm[[#This Row],[Last Name]])</f>
        <v>Muhamad Shrbjy</v>
      </c>
      <c r="E689" s="19" t="s">
        <v>18</v>
      </c>
      <c r="F689" s="11">
        <v>43250</v>
      </c>
      <c r="G689" s="19">
        <v>8</v>
      </c>
      <c r="H689" s="19" t="s">
        <v>120</v>
      </c>
      <c r="I689" s="19" t="s">
        <v>20</v>
      </c>
      <c r="J689" s="1" t="s">
        <v>39</v>
      </c>
      <c r="K689" s="19">
        <v>2069</v>
      </c>
      <c r="L689" s="19">
        <v>24828</v>
      </c>
      <c r="M689" s="19">
        <v>3</v>
      </c>
      <c r="N689" s="19">
        <v>0</v>
      </c>
      <c r="O689" s="1">
        <v>0</v>
      </c>
      <c r="P689" s="19">
        <v>10</v>
      </c>
    </row>
    <row r="690" spans="1:16">
      <c r="A690" s="1">
        <v>689</v>
      </c>
      <c r="B690" s="1" t="s">
        <v>899</v>
      </c>
      <c r="C690" s="1" t="s">
        <v>505</v>
      </c>
      <c r="D690" s="1" t="str">
        <f>_xlfn.CONCAT(mmmm[[#This Row],[First Name]]," ",mmmm[[#This Row],[Last Name]])</f>
        <v>Abd Albasit AlAhmar</v>
      </c>
      <c r="E690" s="19" t="s">
        <v>18</v>
      </c>
      <c r="F690" s="11">
        <v>44048</v>
      </c>
      <c r="G690" s="19">
        <v>6</v>
      </c>
      <c r="H690" s="19" t="s">
        <v>52</v>
      </c>
      <c r="I690" s="19" t="s">
        <v>32</v>
      </c>
      <c r="J690" s="1" t="s">
        <v>39</v>
      </c>
      <c r="K690" s="19">
        <v>2606</v>
      </c>
      <c r="L690" s="19">
        <v>31272</v>
      </c>
      <c r="M690" s="19">
        <v>5</v>
      </c>
      <c r="N690" s="19">
        <v>0</v>
      </c>
      <c r="O690" s="1">
        <v>0</v>
      </c>
      <c r="P690" s="19">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AADB7-7B6B-4D5E-BAFD-7DE14D035D0F}">
  <sheetPr>
    <tabColor theme="4"/>
  </sheetPr>
  <dimension ref="A1:UJ1423"/>
  <sheetViews>
    <sheetView topLeftCell="A734" zoomScale="55" zoomScaleNormal="55" workbookViewId="0">
      <selection activeCell="AI19" sqref="AI19"/>
    </sheetView>
  </sheetViews>
  <sheetFormatPr defaultRowHeight="14.45"/>
  <cols>
    <col min="1" max="1" width="14.42578125" bestFit="1" customWidth="1"/>
    <col min="2" max="2" width="17.85546875" bestFit="1" customWidth="1"/>
    <col min="3" max="3" width="24.7109375" bestFit="1" customWidth="1"/>
    <col min="4" max="4" width="9.140625" bestFit="1" customWidth="1"/>
    <col min="5" max="5" width="20.28515625" bestFit="1" customWidth="1"/>
    <col min="6" max="6" width="10.42578125" customWidth="1"/>
    <col min="7" max="7" width="10.7109375" bestFit="1" customWidth="1"/>
    <col min="8" max="8" width="14.42578125" bestFit="1" customWidth="1"/>
    <col min="9" max="9" width="15.140625" bestFit="1" customWidth="1"/>
    <col min="10" max="10" width="17.42578125" bestFit="1" customWidth="1"/>
    <col min="11" max="11" width="10.42578125" customWidth="1"/>
    <col min="12" max="12" width="20.7109375" bestFit="1" customWidth="1"/>
    <col min="13" max="13" width="14.42578125" bestFit="1" customWidth="1"/>
    <col min="14" max="14" width="9.140625" bestFit="1" customWidth="1"/>
    <col min="15" max="16" width="16.85546875" bestFit="1" customWidth="1"/>
    <col min="17" max="17" width="14.42578125" bestFit="1" customWidth="1"/>
    <col min="18" max="18" width="15.140625" bestFit="1" customWidth="1"/>
    <col min="19" max="556" width="10.5703125" bestFit="1" customWidth="1"/>
    <col min="557" max="557" width="10.7109375" bestFit="1" customWidth="1"/>
    <col min="558" max="558" width="14.28515625" bestFit="1" customWidth="1"/>
    <col min="559" max="559" width="16.42578125" bestFit="1" customWidth="1"/>
    <col min="560" max="560" width="19.28515625" bestFit="1" customWidth="1"/>
    <col min="561" max="561" width="20.5703125" bestFit="1" customWidth="1"/>
    <col min="562" max="562" width="14.28515625" bestFit="1" customWidth="1"/>
    <col min="563" max="563" width="16.42578125" bestFit="1" customWidth="1"/>
    <col min="564" max="564" width="19.28515625" bestFit="1" customWidth="1"/>
    <col min="565" max="565" width="20.5703125" bestFit="1" customWidth="1"/>
    <col min="566" max="566" width="14.28515625" bestFit="1" customWidth="1"/>
    <col min="567" max="567" width="16.42578125" bestFit="1" customWidth="1"/>
    <col min="568" max="568" width="19.28515625" bestFit="1" customWidth="1"/>
    <col min="569" max="569" width="20.5703125" bestFit="1" customWidth="1"/>
    <col min="570" max="570" width="14.28515625" bestFit="1" customWidth="1"/>
    <col min="571" max="571" width="16.42578125" bestFit="1" customWidth="1"/>
    <col min="572" max="572" width="19.28515625" bestFit="1" customWidth="1"/>
    <col min="573" max="573" width="20.5703125" bestFit="1" customWidth="1"/>
    <col min="574" max="574" width="14.28515625" bestFit="1" customWidth="1"/>
    <col min="575" max="575" width="16.42578125" bestFit="1" customWidth="1"/>
    <col min="576" max="576" width="19.28515625" bestFit="1" customWidth="1"/>
    <col min="577" max="577" width="20.5703125" bestFit="1" customWidth="1"/>
    <col min="578" max="578" width="14.28515625" bestFit="1" customWidth="1"/>
    <col min="579" max="579" width="16.42578125" bestFit="1" customWidth="1"/>
    <col min="580" max="580" width="19.28515625" bestFit="1" customWidth="1"/>
    <col min="581" max="581" width="20.5703125" bestFit="1" customWidth="1"/>
    <col min="582" max="582" width="14.28515625" bestFit="1" customWidth="1"/>
    <col min="583" max="583" width="16.42578125" bestFit="1" customWidth="1"/>
    <col min="584" max="584" width="19.28515625" bestFit="1" customWidth="1"/>
    <col min="585" max="585" width="20.5703125" bestFit="1" customWidth="1"/>
    <col min="586" max="586" width="14.28515625" bestFit="1" customWidth="1"/>
    <col min="587" max="587" width="16.42578125" bestFit="1" customWidth="1"/>
    <col min="588" max="588" width="19.28515625" bestFit="1" customWidth="1"/>
    <col min="589" max="589" width="20.5703125" bestFit="1" customWidth="1"/>
    <col min="590" max="590" width="14.28515625" bestFit="1" customWidth="1"/>
    <col min="591" max="591" width="16.42578125" bestFit="1" customWidth="1"/>
    <col min="592" max="592" width="19.28515625" bestFit="1" customWidth="1"/>
    <col min="593" max="593" width="20.5703125" bestFit="1" customWidth="1"/>
    <col min="594" max="594" width="14.28515625" bestFit="1" customWidth="1"/>
    <col min="595" max="595" width="16.42578125" bestFit="1" customWidth="1"/>
    <col min="596" max="596" width="19.28515625" bestFit="1" customWidth="1"/>
    <col min="597" max="597" width="20.5703125" bestFit="1" customWidth="1"/>
    <col min="598" max="598" width="14.28515625" bestFit="1" customWidth="1"/>
    <col min="599" max="599" width="16.42578125" bestFit="1" customWidth="1"/>
    <col min="600" max="600" width="19.28515625" bestFit="1" customWidth="1"/>
    <col min="601" max="601" width="20.5703125" bestFit="1" customWidth="1"/>
    <col min="602" max="602" width="14.28515625" bestFit="1" customWidth="1"/>
    <col min="603" max="603" width="16.42578125" bestFit="1" customWidth="1"/>
    <col min="604" max="604" width="19.28515625" bestFit="1" customWidth="1"/>
    <col min="605" max="605" width="20.5703125" bestFit="1" customWidth="1"/>
    <col min="606" max="606" width="14.28515625" bestFit="1" customWidth="1"/>
    <col min="607" max="607" width="16.42578125" bestFit="1" customWidth="1"/>
    <col min="608" max="608" width="19.28515625" bestFit="1" customWidth="1"/>
    <col min="609" max="609" width="20.5703125" bestFit="1" customWidth="1"/>
    <col min="610" max="610" width="14.28515625" bestFit="1" customWidth="1"/>
    <col min="611" max="611" width="16.42578125" bestFit="1" customWidth="1"/>
    <col min="612" max="612" width="19.28515625" bestFit="1" customWidth="1"/>
    <col min="613" max="613" width="20.5703125" bestFit="1" customWidth="1"/>
    <col min="614" max="614" width="14.28515625" bestFit="1" customWidth="1"/>
    <col min="615" max="615" width="16.42578125" bestFit="1" customWidth="1"/>
    <col min="616" max="616" width="19.28515625" bestFit="1" customWidth="1"/>
    <col min="617" max="617" width="20.5703125" bestFit="1" customWidth="1"/>
    <col min="618" max="618" width="14.28515625" bestFit="1" customWidth="1"/>
    <col min="619" max="619" width="16.42578125" bestFit="1" customWidth="1"/>
    <col min="620" max="620" width="19.28515625" bestFit="1" customWidth="1"/>
    <col min="621" max="621" width="20.5703125" bestFit="1" customWidth="1"/>
    <col min="622" max="622" width="14.28515625" bestFit="1" customWidth="1"/>
    <col min="623" max="623" width="16.42578125" bestFit="1" customWidth="1"/>
    <col min="624" max="624" width="19.28515625" bestFit="1" customWidth="1"/>
    <col min="625" max="625" width="20.5703125" bestFit="1" customWidth="1"/>
    <col min="626" max="626" width="14.28515625" bestFit="1" customWidth="1"/>
    <col min="627" max="627" width="16.42578125" bestFit="1" customWidth="1"/>
    <col min="628" max="628" width="19.28515625" bestFit="1" customWidth="1"/>
    <col min="629" max="629" width="20.5703125" bestFit="1" customWidth="1"/>
    <col min="630" max="630" width="14.28515625" bestFit="1" customWidth="1"/>
    <col min="631" max="631" width="16.42578125" bestFit="1" customWidth="1"/>
    <col min="632" max="632" width="19.28515625" bestFit="1" customWidth="1"/>
    <col min="633" max="633" width="20.5703125" bestFit="1" customWidth="1"/>
    <col min="634" max="634" width="14.28515625" bestFit="1" customWidth="1"/>
    <col min="635" max="635" width="16.42578125" bestFit="1" customWidth="1"/>
    <col min="636" max="636" width="19.28515625" bestFit="1" customWidth="1"/>
    <col min="637" max="637" width="20.5703125" bestFit="1" customWidth="1"/>
    <col min="638" max="638" width="14.28515625" bestFit="1" customWidth="1"/>
    <col min="639" max="639" width="16.42578125" bestFit="1" customWidth="1"/>
    <col min="640" max="640" width="19.28515625" bestFit="1" customWidth="1"/>
    <col min="641" max="641" width="20.5703125" bestFit="1" customWidth="1"/>
    <col min="642" max="642" width="14.28515625" bestFit="1" customWidth="1"/>
    <col min="643" max="643" width="16.42578125" bestFit="1" customWidth="1"/>
    <col min="644" max="644" width="19.28515625" bestFit="1" customWidth="1"/>
    <col min="645" max="645" width="20.5703125" bestFit="1" customWidth="1"/>
    <col min="646" max="646" width="14.28515625" bestFit="1" customWidth="1"/>
    <col min="647" max="647" width="16.42578125" bestFit="1" customWidth="1"/>
    <col min="648" max="648" width="19.28515625" bestFit="1" customWidth="1"/>
    <col min="649" max="649" width="20.5703125" bestFit="1" customWidth="1"/>
    <col min="650" max="650" width="14.28515625" bestFit="1" customWidth="1"/>
    <col min="651" max="651" width="16.42578125" bestFit="1" customWidth="1"/>
    <col min="652" max="652" width="19.28515625" bestFit="1" customWidth="1"/>
    <col min="653" max="653" width="20.5703125" bestFit="1" customWidth="1"/>
    <col min="654" max="654" width="14.28515625" bestFit="1" customWidth="1"/>
    <col min="655" max="655" width="16.42578125" bestFit="1" customWidth="1"/>
    <col min="656" max="656" width="19.28515625" bestFit="1" customWidth="1"/>
    <col min="657" max="657" width="20.5703125" bestFit="1" customWidth="1"/>
    <col min="658" max="658" width="14.28515625" bestFit="1" customWidth="1"/>
    <col min="659" max="659" width="16.42578125" bestFit="1" customWidth="1"/>
    <col min="660" max="660" width="19.28515625" bestFit="1" customWidth="1"/>
    <col min="661" max="661" width="20.5703125" bestFit="1" customWidth="1"/>
    <col min="662" max="662" width="14.28515625" bestFit="1" customWidth="1"/>
    <col min="663" max="663" width="16.42578125" bestFit="1" customWidth="1"/>
    <col min="664" max="664" width="19.28515625" bestFit="1" customWidth="1"/>
    <col min="665" max="665" width="20.5703125" bestFit="1" customWidth="1"/>
    <col min="666" max="666" width="14.28515625" bestFit="1" customWidth="1"/>
    <col min="667" max="667" width="16.42578125" bestFit="1" customWidth="1"/>
    <col min="668" max="668" width="19.28515625" bestFit="1" customWidth="1"/>
    <col min="669" max="669" width="20.5703125" bestFit="1" customWidth="1"/>
    <col min="670" max="670" width="14.28515625" bestFit="1" customWidth="1"/>
    <col min="671" max="671" width="16.42578125" bestFit="1" customWidth="1"/>
    <col min="672" max="672" width="19.28515625" bestFit="1" customWidth="1"/>
    <col min="673" max="673" width="20.5703125" bestFit="1" customWidth="1"/>
    <col min="674" max="674" width="14.28515625" bestFit="1" customWidth="1"/>
    <col min="675" max="675" width="16.42578125" bestFit="1" customWidth="1"/>
    <col min="676" max="676" width="19.28515625" bestFit="1" customWidth="1"/>
    <col min="677" max="677" width="20.5703125" bestFit="1" customWidth="1"/>
    <col min="678" max="678" width="14.28515625" bestFit="1" customWidth="1"/>
    <col min="679" max="679" width="16.42578125" bestFit="1" customWidth="1"/>
    <col min="680" max="680" width="19.28515625" bestFit="1" customWidth="1"/>
    <col min="681" max="681" width="20.5703125" bestFit="1" customWidth="1"/>
    <col min="682" max="682" width="14.28515625" bestFit="1" customWidth="1"/>
    <col min="683" max="683" width="16.42578125" bestFit="1" customWidth="1"/>
    <col min="684" max="684" width="19.28515625" bestFit="1" customWidth="1"/>
    <col min="685" max="685" width="20.5703125" bestFit="1" customWidth="1"/>
    <col min="686" max="686" width="14.28515625" bestFit="1" customWidth="1"/>
    <col min="687" max="687" width="16.42578125" bestFit="1" customWidth="1"/>
    <col min="688" max="688" width="19.28515625" bestFit="1" customWidth="1"/>
    <col min="689" max="689" width="20.5703125" bestFit="1" customWidth="1"/>
    <col min="690" max="690" width="14.28515625" bestFit="1" customWidth="1"/>
    <col min="691" max="691" width="16.42578125" bestFit="1" customWidth="1"/>
    <col min="692" max="692" width="19.28515625" bestFit="1" customWidth="1"/>
    <col min="693" max="693" width="20.5703125" bestFit="1" customWidth="1"/>
    <col min="694" max="694" width="14.28515625" bestFit="1" customWidth="1"/>
    <col min="695" max="695" width="16.42578125" bestFit="1" customWidth="1"/>
    <col min="696" max="696" width="19.28515625" bestFit="1" customWidth="1"/>
    <col min="697" max="697" width="20.5703125" bestFit="1" customWidth="1"/>
    <col min="698" max="698" width="14.28515625" bestFit="1" customWidth="1"/>
    <col min="699" max="699" width="16.42578125" bestFit="1" customWidth="1"/>
    <col min="700" max="700" width="19.28515625" bestFit="1" customWidth="1"/>
    <col min="701" max="701" width="20.5703125" bestFit="1" customWidth="1"/>
    <col min="702" max="702" width="14.28515625" bestFit="1" customWidth="1"/>
    <col min="703" max="703" width="16.42578125" bestFit="1" customWidth="1"/>
    <col min="704" max="704" width="19.28515625" bestFit="1" customWidth="1"/>
    <col min="705" max="705" width="20.5703125" bestFit="1" customWidth="1"/>
    <col min="706" max="706" width="14.28515625" bestFit="1" customWidth="1"/>
    <col min="707" max="707" width="16.42578125" bestFit="1" customWidth="1"/>
    <col min="708" max="708" width="19.28515625" bestFit="1" customWidth="1"/>
    <col min="709" max="709" width="20.5703125" bestFit="1" customWidth="1"/>
    <col min="710" max="710" width="14.28515625" bestFit="1" customWidth="1"/>
    <col min="711" max="711" width="16.42578125" bestFit="1" customWidth="1"/>
    <col min="712" max="712" width="19.28515625" bestFit="1" customWidth="1"/>
    <col min="713" max="713" width="20.5703125" bestFit="1" customWidth="1"/>
    <col min="714" max="714" width="14.28515625" bestFit="1" customWidth="1"/>
    <col min="715" max="715" width="16.42578125" bestFit="1" customWidth="1"/>
    <col min="716" max="716" width="19.28515625" bestFit="1" customWidth="1"/>
    <col min="717" max="717" width="20.5703125" bestFit="1" customWidth="1"/>
    <col min="718" max="718" width="14.28515625" bestFit="1" customWidth="1"/>
    <col min="719" max="719" width="16.42578125" bestFit="1" customWidth="1"/>
    <col min="720" max="720" width="19.28515625" bestFit="1" customWidth="1"/>
    <col min="721" max="721" width="20.5703125" bestFit="1" customWidth="1"/>
    <col min="722" max="722" width="14.28515625" bestFit="1" customWidth="1"/>
    <col min="723" max="723" width="16.42578125" bestFit="1" customWidth="1"/>
    <col min="724" max="724" width="19.28515625" bestFit="1" customWidth="1"/>
    <col min="725" max="725" width="20.5703125" bestFit="1" customWidth="1"/>
    <col min="726" max="726" width="14.28515625" bestFit="1" customWidth="1"/>
    <col min="727" max="727" width="16.42578125" bestFit="1" customWidth="1"/>
    <col min="728" max="728" width="19.28515625" bestFit="1" customWidth="1"/>
    <col min="729" max="729" width="20.5703125" bestFit="1" customWidth="1"/>
    <col min="730" max="730" width="14.28515625" bestFit="1" customWidth="1"/>
    <col min="731" max="731" width="16.42578125" bestFit="1" customWidth="1"/>
    <col min="732" max="732" width="19.28515625" bestFit="1" customWidth="1"/>
    <col min="733" max="733" width="20.5703125" bestFit="1" customWidth="1"/>
    <col min="734" max="734" width="14.28515625" bestFit="1" customWidth="1"/>
    <col min="735" max="735" width="16.42578125" bestFit="1" customWidth="1"/>
    <col min="736" max="736" width="19.28515625" bestFit="1" customWidth="1"/>
    <col min="737" max="737" width="20.5703125" bestFit="1" customWidth="1"/>
    <col min="738" max="738" width="14.28515625" bestFit="1" customWidth="1"/>
    <col min="739" max="739" width="16.42578125" bestFit="1" customWidth="1"/>
    <col min="740" max="740" width="19.28515625" bestFit="1" customWidth="1"/>
    <col min="741" max="741" width="20.5703125" bestFit="1" customWidth="1"/>
    <col min="742" max="742" width="14.28515625" bestFit="1" customWidth="1"/>
    <col min="743" max="743" width="16.42578125" bestFit="1" customWidth="1"/>
    <col min="744" max="744" width="19.28515625" bestFit="1" customWidth="1"/>
    <col min="745" max="745" width="20.5703125" bestFit="1" customWidth="1"/>
    <col min="746" max="746" width="14.28515625" bestFit="1" customWidth="1"/>
    <col min="747" max="747" width="16.42578125" bestFit="1" customWidth="1"/>
    <col min="748" max="748" width="19.28515625" bestFit="1" customWidth="1"/>
    <col min="749" max="749" width="20.5703125" bestFit="1" customWidth="1"/>
    <col min="750" max="750" width="14.28515625" bestFit="1" customWidth="1"/>
    <col min="751" max="751" width="16.42578125" bestFit="1" customWidth="1"/>
    <col min="752" max="752" width="19.28515625" bestFit="1" customWidth="1"/>
    <col min="753" max="753" width="20.5703125" bestFit="1" customWidth="1"/>
    <col min="754" max="754" width="14.28515625" bestFit="1" customWidth="1"/>
    <col min="755" max="755" width="16.42578125" bestFit="1" customWidth="1"/>
    <col min="756" max="756" width="19.28515625" bestFit="1" customWidth="1"/>
    <col min="757" max="757" width="20.5703125" bestFit="1" customWidth="1"/>
    <col min="758" max="758" width="14.28515625" bestFit="1" customWidth="1"/>
    <col min="759" max="759" width="16.42578125" bestFit="1" customWidth="1"/>
    <col min="760" max="760" width="19.28515625" bestFit="1" customWidth="1"/>
    <col min="761" max="761" width="20.5703125" bestFit="1" customWidth="1"/>
    <col min="762" max="762" width="14.28515625" bestFit="1" customWidth="1"/>
    <col min="763" max="763" width="16.42578125" bestFit="1" customWidth="1"/>
    <col min="764" max="764" width="19.28515625" bestFit="1" customWidth="1"/>
    <col min="765" max="765" width="20.5703125" bestFit="1" customWidth="1"/>
    <col min="766" max="766" width="14.28515625" bestFit="1" customWidth="1"/>
    <col min="767" max="767" width="16.42578125" bestFit="1" customWidth="1"/>
    <col min="768" max="768" width="19.28515625" bestFit="1" customWidth="1"/>
    <col min="769" max="769" width="20.5703125" bestFit="1" customWidth="1"/>
    <col min="770" max="770" width="14.28515625" bestFit="1" customWidth="1"/>
    <col min="771" max="771" width="16.42578125" bestFit="1" customWidth="1"/>
    <col min="772" max="772" width="19.28515625" bestFit="1" customWidth="1"/>
    <col min="773" max="773" width="20.5703125" bestFit="1" customWidth="1"/>
    <col min="774" max="774" width="14.28515625" bestFit="1" customWidth="1"/>
    <col min="775" max="775" width="16.42578125" bestFit="1" customWidth="1"/>
    <col min="776" max="776" width="19.28515625" bestFit="1" customWidth="1"/>
    <col min="777" max="777" width="20.5703125" bestFit="1" customWidth="1"/>
    <col min="778" max="778" width="14.28515625" bestFit="1" customWidth="1"/>
    <col min="779" max="779" width="16.42578125" bestFit="1" customWidth="1"/>
    <col min="780" max="780" width="19.28515625" bestFit="1" customWidth="1"/>
    <col min="781" max="781" width="20.5703125" bestFit="1" customWidth="1"/>
    <col min="782" max="782" width="14.28515625" bestFit="1" customWidth="1"/>
    <col min="783" max="783" width="16.42578125" bestFit="1" customWidth="1"/>
    <col min="784" max="784" width="19.28515625" bestFit="1" customWidth="1"/>
    <col min="785" max="785" width="20.5703125" bestFit="1" customWidth="1"/>
    <col min="786" max="786" width="14.28515625" bestFit="1" customWidth="1"/>
    <col min="787" max="787" width="16.42578125" bestFit="1" customWidth="1"/>
    <col min="788" max="788" width="19.28515625" bestFit="1" customWidth="1"/>
    <col min="789" max="789" width="20.5703125" bestFit="1" customWidth="1"/>
    <col min="790" max="790" width="14.28515625" bestFit="1" customWidth="1"/>
    <col min="791" max="791" width="16.42578125" bestFit="1" customWidth="1"/>
    <col min="792" max="792" width="19.28515625" bestFit="1" customWidth="1"/>
    <col min="793" max="793" width="20.5703125" bestFit="1" customWidth="1"/>
    <col min="794" max="794" width="14.28515625" bestFit="1" customWidth="1"/>
    <col min="795" max="795" width="16.42578125" bestFit="1" customWidth="1"/>
    <col min="796" max="796" width="19.28515625" bestFit="1" customWidth="1"/>
    <col min="797" max="797" width="20.5703125" bestFit="1" customWidth="1"/>
    <col min="798" max="798" width="14.28515625" bestFit="1" customWidth="1"/>
    <col min="799" max="799" width="16.42578125" bestFit="1" customWidth="1"/>
    <col min="800" max="800" width="19.28515625" bestFit="1" customWidth="1"/>
    <col min="801" max="801" width="20.5703125" bestFit="1" customWidth="1"/>
    <col min="802" max="802" width="14.28515625" bestFit="1" customWidth="1"/>
    <col min="803" max="803" width="16.42578125" bestFit="1" customWidth="1"/>
    <col min="804" max="804" width="19.28515625" bestFit="1" customWidth="1"/>
    <col min="805" max="805" width="20.5703125" bestFit="1" customWidth="1"/>
    <col min="806" max="806" width="14.28515625" bestFit="1" customWidth="1"/>
    <col min="807" max="807" width="16.42578125" bestFit="1" customWidth="1"/>
    <col min="808" max="808" width="19.28515625" bestFit="1" customWidth="1"/>
    <col min="809" max="809" width="20.5703125" bestFit="1" customWidth="1"/>
    <col min="810" max="810" width="14.28515625" bestFit="1" customWidth="1"/>
    <col min="811" max="811" width="16.42578125" bestFit="1" customWidth="1"/>
    <col min="812" max="812" width="19.28515625" bestFit="1" customWidth="1"/>
    <col min="813" max="813" width="20.5703125" bestFit="1" customWidth="1"/>
    <col min="814" max="814" width="14.28515625" bestFit="1" customWidth="1"/>
    <col min="815" max="815" width="16.42578125" bestFit="1" customWidth="1"/>
    <col min="816" max="816" width="19.28515625" bestFit="1" customWidth="1"/>
    <col min="817" max="817" width="20.5703125" bestFit="1" customWidth="1"/>
    <col min="818" max="818" width="14.28515625" bestFit="1" customWidth="1"/>
    <col min="819" max="819" width="16.42578125" bestFit="1" customWidth="1"/>
    <col min="820" max="820" width="19.28515625" bestFit="1" customWidth="1"/>
    <col min="821" max="821" width="20.5703125" bestFit="1" customWidth="1"/>
    <col min="822" max="822" width="14.28515625" bestFit="1" customWidth="1"/>
    <col min="823" max="823" width="16.42578125" bestFit="1" customWidth="1"/>
    <col min="824" max="824" width="19.28515625" bestFit="1" customWidth="1"/>
    <col min="825" max="825" width="20.5703125" bestFit="1" customWidth="1"/>
    <col min="826" max="826" width="14.28515625" bestFit="1" customWidth="1"/>
    <col min="827" max="827" width="16.42578125" bestFit="1" customWidth="1"/>
    <col min="828" max="828" width="19.28515625" bestFit="1" customWidth="1"/>
    <col min="829" max="829" width="20.5703125" bestFit="1" customWidth="1"/>
    <col min="830" max="830" width="14.28515625" bestFit="1" customWidth="1"/>
    <col min="831" max="831" width="16.42578125" bestFit="1" customWidth="1"/>
    <col min="832" max="832" width="19.28515625" bestFit="1" customWidth="1"/>
    <col min="833" max="833" width="20.5703125" bestFit="1" customWidth="1"/>
    <col min="834" max="834" width="14.28515625" bestFit="1" customWidth="1"/>
    <col min="835" max="835" width="16.42578125" bestFit="1" customWidth="1"/>
    <col min="836" max="836" width="19.28515625" bestFit="1" customWidth="1"/>
    <col min="837" max="837" width="20.5703125" bestFit="1" customWidth="1"/>
    <col min="838" max="838" width="14.28515625" bestFit="1" customWidth="1"/>
    <col min="839" max="839" width="16.42578125" bestFit="1" customWidth="1"/>
    <col min="840" max="840" width="19.28515625" bestFit="1" customWidth="1"/>
    <col min="841" max="841" width="20.5703125" bestFit="1" customWidth="1"/>
    <col min="842" max="842" width="14.28515625" bestFit="1" customWidth="1"/>
    <col min="843" max="843" width="16.42578125" bestFit="1" customWidth="1"/>
    <col min="844" max="844" width="19.28515625" bestFit="1" customWidth="1"/>
    <col min="845" max="845" width="20.5703125" bestFit="1" customWidth="1"/>
    <col min="846" max="846" width="14.28515625" bestFit="1" customWidth="1"/>
    <col min="847" max="847" width="16.42578125" bestFit="1" customWidth="1"/>
    <col min="848" max="848" width="19.28515625" bestFit="1" customWidth="1"/>
    <col min="849" max="849" width="20.5703125" bestFit="1" customWidth="1"/>
    <col min="850" max="850" width="14.28515625" bestFit="1" customWidth="1"/>
    <col min="851" max="851" width="16.42578125" bestFit="1" customWidth="1"/>
    <col min="852" max="852" width="19.28515625" bestFit="1" customWidth="1"/>
    <col min="853" max="853" width="20.5703125" bestFit="1" customWidth="1"/>
    <col min="854" max="854" width="14.28515625" bestFit="1" customWidth="1"/>
    <col min="855" max="855" width="16.42578125" bestFit="1" customWidth="1"/>
    <col min="856" max="856" width="19.28515625" bestFit="1" customWidth="1"/>
    <col min="857" max="857" width="20.5703125" bestFit="1" customWidth="1"/>
    <col min="858" max="858" width="14.28515625" bestFit="1" customWidth="1"/>
    <col min="859" max="859" width="16.42578125" bestFit="1" customWidth="1"/>
    <col min="860" max="860" width="19.28515625" bestFit="1" customWidth="1"/>
    <col min="861" max="861" width="20.5703125" bestFit="1" customWidth="1"/>
    <col min="862" max="862" width="14.28515625" bestFit="1" customWidth="1"/>
    <col min="863" max="863" width="16.42578125" bestFit="1" customWidth="1"/>
    <col min="864" max="864" width="19.28515625" bestFit="1" customWidth="1"/>
    <col min="865" max="865" width="20.5703125" bestFit="1" customWidth="1"/>
    <col min="866" max="866" width="14.28515625" bestFit="1" customWidth="1"/>
    <col min="867" max="867" width="16.42578125" bestFit="1" customWidth="1"/>
    <col min="868" max="868" width="19.28515625" bestFit="1" customWidth="1"/>
    <col min="869" max="869" width="20.5703125" bestFit="1" customWidth="1"/>
    <col min="870" max="870" width="14.28515625" bestFit="1" customWidth="1"/>
    <col min="871" max="871" width="16.42578125" bestFit="1" customWidth="1"/>
    <col min="872" max="872" width="19.28515625" bestFit="1" customWidth="1"/>
    <col min="873" max="873" width="20.5703125" bestFit="1" customWidth="1"/>
    <col min="874" max="874" width="14.28515625" bestFit="1" customWidth="1"/>
    <col min="875" max="875" width="16.42578125" bestFit="1" customWidth="1"/>
    <col min="876" max="876" width="19.28515625" bestFit="1" customWidth="1"/>
    <col min="877" max="877" width="20.5703125" bestFit="1" customWidth="1"/>
    <col min="878" max="878" width="14.28515625" bestFit="1" customWidth="1"/>
    <col min="879" max="879" width="16.42578125" bestFit="1" customWidth="1"/>
    <col min="880" max="880" width="19.28515625" bestFit="1" customWidth="1"/>
    <col min="881" max="881" width="20.5703125" bestFit="1" customWidth="1"/>
    <col min="882" max="882" width="14.28515625" bestFit="1" customWidth="1"/>
    <col min="883" max="883" width="16.42578125" bestFit="1" customWidth="1"/>
    <col min="884" max="884" width="19.28515625" bestFit="1" customWidth="1"/>
    <col min="885" max="885" width="20.5703125" bestFit="1" customWidth="1"/>
    <col min="886" max="886" width="14.28515625" bestFit="1" customWidth="1"/>
    <col min="887" max="887" width="16.42578125" bestFit="1" customWidth="1"/>
    <col min="888" max="888" width="19.28515625" bestFit="1" customWidth="1"/>
    <col min="889" max="889" width="20.5703125" bestFit="1" customWidth="1"/>
    <col min="890" max="890" width="14.28515625" bestFit="1" customWidth="1"/>
    <col min="891" max="891" width="16.42578125" bestFit="1" customWidth="1"/>
    <col min="892" max="892" width="19.28515625" bestFit="1" customWidth="1"/>
    <col min="893" max="893" width="20.5703125" bestFit="1" customWidth="1"/>
    <col min="894" max="894" width="14.28515625" bestFit="1" customWidth="1"/>
    <col min="895" max="895" width="16.42578125" bestFit="1" customWidth="1"/>
    <col min="896" max="896" width="19.28515625" bestFit="1" customWidth="1"/>
    <col min="897" max="897" width="20.5703125" bestFit="1" customWidth="1"/>
    <col min="898" max="898" width="14.28515625" bestFit="1" customWidth="1"/>
    <col min="899" max="899" width="16.42578125" bestFit="1" customWidth="1"/>
    <col min="900" max="900" width="19.28515625" bestFit="1" customWidth="1"/>
    <col min="901" max="901" width="20.5703125" bestFit="1" customWidth="1"/>
    <col min="902" max="902" width="14.28515625" bestFit="1" customWidth="1"/>
    <col min="903" max="903" width="16.42578125" bestFit="1" customWidth="1"/>
    <col min="904" max="904" width="19.28515625" bestFit="1" customWidth="1"/>
    <col min="905" max="905" width="20.5703125" bestFit="1" customWidth="1"/>
    <col min="906" max="906" width="14.28515625" bestFit="1" customWidth="1"/>
    <col min="907" max="907" width="16.42578125" bestFit="1" customWidth="1"/>
    <col min="908" max="908" width="19.28515625" bestFit="1" customWidth="1"/>
    <col min="909" max="909" width="20.5703125" bestFit="1" customWidth="1"/>
    <col min="910" max="910" width="14.28515625" bestFit="1" customWidth="1"/>
    <col min="911" max="911" width="16.42578125" bestFit="1" customWidth="1"/>
    <col min="912" max="912" width="19.28515625" bestFit="1" customWidth="1"/>
    <col min="913" max="913" width="20.5703125" bestFit="1" customWidth="1"/>
    <col min="914" max="914" width="14.28515625" bestFit="1" customWidth="1"/>
    <col min="915" max="915" width="16.42578125" bestFit="1" customWidth="1"/>
    <col min="916" max="916" width="19.28515625" bestFit="1" customWidth="1"/>
    <col min="917" max="917" width="20.5703125" bestFit="1" customWidth="1"/>
    <col min="918" max="918" width="14.28515625" bestFit="1" customWidth="1"/>
    <col min="919" max="919" width="16.42578125" bestFit="1" customWidth="1"/>
    <col min="920" max="920" width="19.28515625" bestFit="1" customWidth="1"/>
    <col min="921" max="921" width="20.5703125" bestFit="1" customWidth="1"/>
    <col min="922" max="922" width="14.28515625" bestFit="1" customWidth="1"/>
    <col min="923" max="923" width="16.42578125" bestFit="1" customWidth="1"/>
    <col min="924" max="924" width="19.28515625" bestFit="1" customWidth="1"/>
    <col min="925" max="925" width="20.5703125" bestFit="1" customWidth="1"/>
    <col min="926" max="926" width="14.28515625" bestFit="1" customWidth="1"/>
    <col min="927" max="927" width="16.42578125" bestFit="1" customWidth="1"/>
    <col min="928" max="928" width="19.28515625" bestFit="1" customWidth="1"/>
    <col min="929" max="929" width="20.5703125" bestFit="1" customWidth="1"/>
    <col min="930" max="930" width="14.28515625" bestFit="1" customWidth="1"/>
    <col min="931" max="931" width="16.42578125" bestFit="1" customWidth="1"/>
    <col min="932" max="932" width="19.28515625" bestFit="1" customWidth="1"/>
    <col min="933" max="933" width="20.5703125" bestFit="1" customWidth="1"/>
    <col min="934" max="934" width="14.28515625" bestFit="1" customWidth="1"/>
    <col min="935" max="935" width="16.42578125" bestFit="1" customWidth="1"/>
    <col min="936" max="936" width="19.28515625" bestFit="1" customWidth="1"/>
    <col min="937" max="937" width="20.5703125" bestFit="1" customWidth="1"/>
    <col min="938" max="938" width="14.28515625" bestFit="1" customWidth="1"/>
    <col min="939" max="939" width="16.42578125" bestFit="1" customWidth="1"/>
    <col min="940" max="940" width="19.28515625" bestFit="1" customWidth="1"/>
    <col min="941" max="941" width="20.5703125" bestFit="1" customWidth="1"/>
    <col min="942" max="942" width="14.28515625" bestFit="1" customWidth="1"/>
    <col min="943" max="943" width="16.42578125" bestFit="1" customWidth="1"/>
    <col min="944" max="944" width="19.28515625" bestFit="1" customWidth="1"/>
    <col min="945" max="945" width="20.5703125" bestFit="1" customWidth="1"/>
    <col min="946" max="946" width="14.28515625" bestFit="1" customWidth="1"/>
    <col min="947" max="947" width="16.42578125" bestFit="1" customWidth="1"/>
    <col min="948" max="948" width="19.28515625" bestFit="1" customWidth="1"/>
    <col min="949" max="949" width="20.5703125" bestFit="1" customWidth="1"/>
    <col min="950" max="950" width="14.28515625" bestFit="1" customWidth="1"/>
    <col min="951" max="951" width="16.42578125" bestFit="1" customWidth="1"/>
    <col min="952" max="952" width="19.28515625" bestFit="1" customWidth="1"/>
    <col min="953" max="953" width="20.5703125" bestFit="1" customWidth="1"/>
    <col min="954" max="954" width="14.28515625" bestFit="1" customWidth="1"/>
    <col min="955" max="955" width="16.42578125" bestFit="1" customWidth="1"/>
    <col min="956" max="956" width="19.28515625" bestFit="1" customWidth="1"/>
    <col min="957" max="957" width="20.5703125" bestFit="1" customWidth="1"/>
    <col min="958" max="958" width="14.28515625" bestFit="1" customWidth="1"/>
    <col min="959" max="959" width="16.42578125" bestFit="1" customWidth="1"/>
    <col min="960" max="960" width="19.28515625" bestFit="1" customWidth="1"/>
    <col min="961" max="961" width="20.5703125" bestFit="1" customWidth="1"/>
    <col min="962" max="962" width="14.28515625" bestFit="1" customWidth="1"/>
    <col min="963" max="963" width="16.42578125" bestFit="1" customWidth="1"/>
    <col min="964" max="964" width="19.28515625" bestFit="1" customWidth="1"/>
    <col min="965" max="965" width="20.5703125" bestFit="1" customWidth="1"/>
    <col min="966" max="966" width="14.28515625" bestFit="1" customWidth="1"/>
    <col min="967" max="967" width="16.42578125" bestFit="1" customWidth="1"/>
    <col min="968" max="968" width="19.28515625" bestFit="1" customWidth="1"/>
    <col min="969" max="969" width="20.5703125" bestFit="1" customWidth="1"/>
    <col min="970" max="970" width="14.28515625" bestFit="1" customWidth="1"/>
    <col min="971" max="971" width="16.42578125" bestFit="1" customWidth="1"/>
    <col min="972" max="972" width="19.28515625" bestFit="1" customWidth="1"/>
    <col min="973" max="973" width="20.5703125" bestFit="1" customWidth="1"/>
    <col min="974" max="974" width="14.28515625" bestFit="1" customWidth="1"/>
    <col min="975" max="975" width="16.42578125" bestFit="1" customWidth="1"/>
    <col min="976" max="976" width="19.28515625" bestFit="1" customWidth="1"/>
    <col min="977" max="977" width="20.5703125" bestFit="1" customWidth="1"/>
    <col min="978" max="978" width="14.28515625" bestFit="1" customWidth="1"/>
    <col min="979" max="979" width="16.42578125" bestFit="1" customWidth="1"/>
    <col min="980" max="980" width="19.28515625" bestFit="1" customWidth="1"/>
    <col min="981" max="981" width="20.5703125" bestFit="1" customWidth="1"/>
    <col min="982" max="982" width="14.28515625" bestFit="1" customWidth="1"/>
    <col min="983" max="983" width="16.42578125" bestFit="1" customWidth="1"/>
    <col min="984" max="984" width="19.28515625" bestFit="1" customWidth="1"/>
    <col min="985" max="985" width="20.5703125" bestFit="1" customWidth="1"/>
    <col min="986" max="986" width="14.28515625" bestFit="1" customWidth="1"/>
    <col min="987" max="987" width="16.42578125" bestFit="1" customWidth="1"/>
    <col min="988" max="988" width="19.28515625" bestFit="1" customWidth="1"/>
    <col min="989" max="989" width="20.5703125" bestFit="1" customWidth="1"/>
    <col min="990" max="990" width="14.28515625" bestFit="1" customWidth="1"/>
    <col min="991" max="991" width="16.42578125" bestFit="1" customWidth="1"/>
    <col min="992" max="992" width="19.28515625" bestFit="1" customWidth="1"/>
    <col min="993" max="993" width="20.5703125" bestFit="1" customWidth="1"/>
    <col min="994" max="994" width="14.28515625" bestFit="1" customWidth="1"/>
    <col min="995" max="995" width="16.42578125" bestFit="1" customWidth="1"/>
    <col min="996" max="996" width="19.28515625" bestFit="1" customWidth="1"/>
    <col min="997" max="997" width="20.5703125" bestFit="1" customWidth="1"/>
    <col min="998" max="998" width="14.28515625" bestFit="1" customWidth="1"/>
    <col min="999" max="999" width="16.42578125" bestFit="1" customWidth="1"/>
    <col min="1000" max="1000" width="19.28515625" bestFit="1" customWidth="1"/>
    <col min="1001" max="1001" width="20.5703125" bestFit="1" customWidth="1"/>
    <col min="1002" max="1002" width="14.28515625" bestFit="1" customWidth="1"/>
    <col min="1003" max="1003" width="16.42578125" bestFit="1" customWidth="1"/>
    <col min="1004" max="1004" width="19.28515625" bestFit="1" customWidth="1"/>
    <col min="1005" max="1005" width="20.5703125" bestFit="1" customWidth="1"/>
    <col min="1006" max="1006" width="14.28515625" bestFit="1" customWidth="1"/>
    <col min="1007" max="1007" width="16.42578125" bestFit="1" customWidth="1"/>
    <col min="1008" max="1008" width="19.28515625" bestFit="1" customWidth="1"/>
    <col min="1009" max="1009" width="20.5703125" bestFit="1" customWidth="1"/>
    <col min="1010" max="1010" width="14.28515625" bestFit="1" customWidth="1"/>
    <col min="1011" max="1011" width="16.42578125" bestFit="1" customWidth="1"/>
    <col min="1012" max="1012" width="19.28515625" bestFit="1" customWidth="1"/>
    <col min="1013" max="1013" width="20.5703125" bestFit="1" customWidth="1"/>
    <col min="1014" max="1014" width="14.28515625" bestFit="1" customWidth="1"/>
    <col min="1015" max="1015" width="16.42578125" bestFit="1" customWidth="1"/>
    <col min="1016" max="1016" width="19.28515625" bestFit="1" customWidth="1"/>
    <col min="1017" max="1017" width="20.5703125" bestFit="1" customWidth="1"/>
    <col min="1018" max="1018" width="14.28515625" bestFit="1" customWidth="1"/>
    <col min="1019" max="1019" width="16.42578125" bestFit="1" customWidth="1"/>
    <col min="1020" max="1020" width="19.28515625" bestFit="1" customWidth="1"/>
    <col min="1021" max="1021" width="20.5703125" bestFit="1" customWidth="1"/>
    <col min="1022" max="1022" width="14.28515625" bestFit="1" customWidth="1"/>
    <col min="1023" max="1023" width="16.42578125" bestFit="1" customWidth="1"/>
    <col min="1024" max="1024" width="19.28515625" bestFit="1" customWidth="1"/>
    <col min="1025" max="1025" width="20.5703125" bestFit="1" customWidth="1"/>
    <col min="1026" max="1026" width="14.28515625" bestFit="1" customWidth="1"/>
    <col min="1027" max="1027" width="16.42578125" bestFit="1" customWidth="1"/>
    <col min="1028" max="1028" width="19.28515625" bestFit="1" customWidth="1"/>
    <col min="1029" max="1029" width="20.5703125" bestFit="1" customWidth="1"/>
    <col min="1030" max="1030" width="14.28515625" bestFit="1" customWidth="1"/>
    <col min="1031" max="1031" width="16.42578125" bestFit="1" customWidth="1"/>
    <col min="1032" max="1032" width="19.28515625" bestFit="1" customWidth="1"/>
    <col min="1033" max="1033" width="20.5703125" bestFit="1" customWidth="1"/>
    <col min="1034" max="1034" width="14.28515625" bestFit="1" customWidth="1"/>
    <col min="1035" max="1035" width="16.42578125" bestFit="1" customWidth="1"/>
    <col min="1036" max="1036" width="19.28515625" bestFit="1" customWidth="1"/>
    <col min="1037" max="1037" width="20.5703125" bestFit="1" customWidth="1"/>
    <col min="1038" max="1038" width="14.28515625" bestFit="1" customWidth="1"/>
    <col min="1039" max="1039" width="16.42578125" bestFit="1" customWidth="1"/>
    <col min="1040" max="1040" width="19.28515625" bestFit="1" customWidth="1"/>
    <col min="1041" max="1041" width="20.5703125" bestFit="1" customWidth="1"/>
    <col min="1042" max="1042" width="14.28515625" bestFit="1" customWidth="1"/>
    <col min="1043" max="1043" width="16.42578125" bestFit="1" customWidth="1"/>
    <col min="1044" max="1044" width="19.28515625" bestFit="1" customWidth="1"/>
    <col min="1045" max="1045" width="20.5703125" bestFit="1" customWidth="1"/>
    <col min="1046" max="1046" width="14.28515625" bestFit="1" customWidth="1"/>
    <col min="1047" max="1047" width="16.42578125" bestFit="1" customWidth="1"/>
    <col min="1048" max="1048" width="19.28515625" bestFit="1" customWidth="1"/>
    <col min="1049" max="1049" width="20.5703125" bestFit="1" customWidth="1"/>
    <col min="1050" max="1050" width="14.28515625" bestFit="1" customWidth="1"/>
    <col min="1051" max="1051" width="16.42578125" bestFit="1" customWidth="1"/>
    <col min="1052" max="1052" width="19.28515625" bestFit="1" customWidth="1"/>
    <col min="1053" max="1053" width="20.5703125" bestFit="1" customWidth="1"/>
    <col min="1054" max="1054" width="14.28515625" bestFit="1" customWidth="1"/>
    <col min="1055" max="1055" width="16.42578125" bestFit="1" customWidth="1"/>
    <col min="1056" max="1056" width="19.28515625" bestFit="1" customWidth="1"/>
    <col min="1057" max="1057" width="20.5703125" bestFit="1" customWidth="1"/>
    <col min="1058" max="1058" width="14.28515625" bestFit="1" customWidth="1"/>
    <col min="1059" max="1059" width="16.42578125" bestFit="1" customWidth="1"/>
    <col min="1060" max="1060" width="19.28515625" bestFit="1" customWidth="1"/>
    <col min="1061" max="1061" width="20.5703125" bestFit="1" customWidth="1"/>
    <col min="1062" max="1062" width="14.28515625" bestFit="1" customWidth="1"/>
    <col min="1063" max="1063" width="16.42578125" bestFit="1" customWidth="1"/>
    <col min="1064" max="1064" width="19.28515625" bestFit="1" customWidth="1"/>
    <col min="1065" max="1065" width="20.5703125" bestFit="1" customWidth="1"/>
    <col min="1066" max="1066" width="14.28515625" bestFit="1" customWidth="1"/>
    <col min="1067" max="1067" width="16.42578125" bestFit="1" customWidth="1"/>
    <col min="1068" max="1068" width="19.28515625" bestFit="1" customWidth="1"/>
    <col min="1069" max="1069" width="20.5703125" bestFit="1" customWidth="1"/>
    <col min="1070" max="1070" width="14.28515625" bestFit="1" customWidth="1"/>
    <col min="1071" max="1071" width="16.42578125" bestFit="1" customWidth="1"/>
    <col min="1072" max="1072" width="19.28515625" bestFit="1" customWidth="1"/>
    <col min="1073" max="1073" width="20.5703125" bestFit="1" customWidth="1"/>
    <col min="1074" max="1074" width="14.28515625" bestFit="1" customWidth="1"/>
    <col min="1075" max="1075" width="16.42578125" bestFit="1" customWidth="1"/>
    <col min="1076" max="1076" width="19.28515625" bestFit="1" customWidth="1"/>
    <col min="1077" max="1077" width="20.5703125" bestFit="1" customWidth="1"/>
    <col min="1078" max="1078" width="14.28515625" bestFit="1" customWidth="1"/>
    <col min="1079" max="1079" width="16.42578125" bestFit="1" customWidth="1"/>
    <col min="1080" max="1080" width="19.28515625" bestFit="1" customWidth="1"/>
    <col min="1081" max="1081" width="20.5703125" bestFit="1" customWidth="1"/>
    <col min="1082" max="1082" width="14.28515625" bestFit="1" customWidth="1"/>
    <col min="1083" max="1083" width="16.42578125" bestFit="1" customWidth="1"/>
    <col min="1084" max="1084" width="19.28515625" bestFit="1" customWidth="1"/>
    <col min="1085" max="1085" width="20.5703125" bestFit="1" customWidth="1"/>
    <col min="1086" max="1086" width="14.28515625" bestFit="1" customWidth="1"/>
    <col min="1087" max="1087" width="16.42578125" bestFit="1" customWidth="1"/>
    <col min="1088" max="1088" width="19.28515625" bestFit="1" customWidth="1"/>
    <col min="1089" max="1089" width="20.5703125" bestFit="1" customWidth="1"/>
    <col min="1090" max="1090" width="14.28515625" bestFit="1" customWidth="1"/>
    <col min="1091" max="1091" width="16.42578125" bestFit="1" customWidth="1"/>
    <col min="1092" max="1092" width="19.28515625" bestFit="1" customWidth="1"/>
    <col min="1093" max="1093" width="20.5703125" bestFit="1" customWidth="1"/>
    <col min="1094" max="1094" width="14.28515625" bestFit="1" customWidth="1"/>
    <col min="1095" max="1095" width="16.42578125" bestFit="1" customWidth="1"/>
    <col min="1096" max="1096" width="19.28515625" bestFit="1" customWidth="1"/>
    <col min="1097" max="1097" width="20.5703125" bestFit="1" customWidth="1"/>
    <col min="1098" max="1098" width="14.28515625" bestFit="1" customWidth="1"/>
    <col min="1099" max="1099" width="16.42578125" bestFit="1" customWidth="1"/>
    <col min="1100" max="1100" width="19.28515625" bestFit="1" customWidth="1"/>
    <col min="1101" max="1101" width="20.5703125" bestFit="1" customWidth="1"/>
    <col min="1102" max="1102" width="14.28515625" bestFit="1" customWidth="1"/>
    <col min="1103" max="1103" width="16.42578125" bestFit="1" customWidth="1"/>
    <col min="1104" max="1104" width="19.28515625" bestFit="1" customWidth="1"/>
    <col min="1105" max="1105" width="20.5703125" bestFit="1" customWidth="1"/>
    <col min="1106" max="1106" width="14.28515625" bestFit="1" customWidth="1"/>
    <col min="1107" max="1107" width="16.42578125" bestFit="1" customWidth="1"/>
    <col min="1108" max="1108" width="19.28515625" bestFit="1" customWidth="1"/>
    <col min="1109" max="1109" width="20.5703125" bestFit="1" customWidth="1"/>
    <col min="1110" max="1110" width="14.28515625" bestFit="1" customWidth="1"/>
    <col min="1111" max="1111" width="16.42578125" bestFit="1" customWidth="1"/>
    <col min="1112" max="1112" width="19.28515625" bestFit="1" customWidth="1"/>
    <col min="1113" max="1113" width="20.5703125" bestFit="1" customWidth="1"/>
    <col min="1114" max="1114" width="14.28515625" bestFit="1" customWidth="1"/>
    <col min="1115" max="1115" width="16.42578125" bestFit="1" customWidth="1"/>
    <col min="1116" max="1116" width="19.28515625" bestFit="1" customWidth="1"/>
    <col min="1117" max="1117" width="20.5703125" bestFit="1" customWidth="1"/>
    <col min="1118" max="1118" width="14.28515625" bestFit="1" customWidth="1"/>
    <col min="1119" max="1119" width="16.42578125" bestFit="1" customWidth="1"/>
    <col min="1120" max="1120" width="19.28515625" bestFit="1" customWidth="1"/>
    <col min="1121" max="1121" width="20.5703125" bestFit="1" customWidth="1"/>
    <col min="1122" max="1122" width="14.28515625" bestFit="1" customWidth="1"/>
    <col min="1123" max="1123" width="16.42578125" bestFit="1" customWidth="1"/>
    <col min="1124" max="1124" width="19.28515625" bestFit="1" customWidth="1"/>
    <col min="1125" max="1125" width="20.5703125" bestFit="1" customWidth="1"/>
    <col min="1126" max="1126" width="14.28515625" bestFit="1" customWidth="1"/>
    <col min="1127" max="1127" width="16.42578125" bestFit="1" customWidth="1"/>
    <col min="1128" max="1128" width="19.28515625" bestFit="1" customWidth="1"/>
    <col min="1129" max="1129" width="20.5703125" bestFit="1" customWidth="1"/>
    <col min="1130" max="1130" width="14.28515625" bestFit="1" customWidth="1"/>
    <col min="1131" max="1131" width="16.42578125" bestFit="1" customWidth="1"/>
    <col min="1132" max="1132" width="19.28515625" bestFit="1" customWidth="1"/>
    <col min="1133" max="1133" width="20.5703125" bestFit="1" customWidth="1"/>
    <col min="1134" max="1134" width="14.28515625" bestFit="1" customWidth="1"/>
    <col min="1135" max="1135" width="16.42578125" bestFit="1" customWidth="1"/>
    <col min="1136" max="1136" width="19.28515625" bestFit="1" customWidth="1"/>
    <col min="1137" max="1137" width="20.5703125" bestFit="1" customWidth="1"/>
    <col min="1138" max="1138" width="14.28515625" bestFit="1" customWidth="1"/>
    <col min="1139" max="1139" width="16.42578125" bestFit="1" customWidth="1"/>
    <col min="1140" max="1140" width="19.28515625" bestFit="1" customWidth="1"/>
    <col min="1141" max="1141" width="20.5703125" bestFit="1" customWidth="1"/>
    <col min="1142" max="1142" width="14.28515625" bestFit="1" customWidth="1"/>
    <col min="1143" max="1143" width="16.42578125" bestFit="1" customWidth="1"/>
    <col min="1144" max="1144" width="19.28515625" bestFit="1" customWidth="1"/>
    <col min="1145" max="1145" width="20.5703125" bestFit="1" customWidth="1"/>
    <col min="1146" max="1146" width="14.28515625" bestFit="1" customWidth="1"/>
    <col min="1147" max="1147" width="16.42578125" bestFit="1" customWidth="1"/>
    <col min="1148" max="1148" width="19.28515625" bestFit="1" customWidth="1"/>
    <col min="1149" max="1149" width="20.5703125" bestFit="1" customWidth="1"/>
    <col min="1150" max="1150" width="14.28515625" bestFit="1" customWidth="1"/>
    <col min="1151" max="1151" width="16.42578125" bestFit="1" customWidth="1"/>
    <col min="1152" max="1152" width="19.28515625" bestFit="1" customWidth="1"/>
    <col min="1153" max="1153" width="20.5703125" bestFit="1" customWidth="1"/>
    <col min="1154" max="1154" width="14.28515625" bestFit="1" customWidth="1"/>
    <col min="1155" max="1155" width="16.42578125" bestFit="1" customWidth="1"/>
    <col min="1156" max="1156" width="19.28515625" bestFit="1" customWidth="1"/>
    <col min="1157" max="1157" width="20.5703125" bestFit="1" customWidth="1"/>
    <col min="1158" max="1158" width="14.28515625" bestFit="1" customWidth="1"/>
    <col min="1159" max="1159" width="16.42578125" bestFit="1" customWidth="1"/>
    <col min="1160" max="1160" width="19.28515625" bestFit="1" customWidth="1"/>
    <col min="1161" max="1161" width="20.5703125" bestFit="1" customWidth="1"/>
    <col min="1162" max="1162" width="14.28515625" bestFit="1" customWidth="1"/>
    <col min="1163" max="1163" width="16.42578125" bestFit="1" customWidth="1"/>
    <col min="1164" max="1164" width="19.28515625" bestFit="1" customWidth="1"/>
    <col min="1165" max="1165" width="20.5703125" bestFit="1" customWidth="1"/>
    <col min="1166" max="1166" width="14.28515625" bestFit="1" customWidth="1"/>
    <col min="1167" max="1167" width="16.42578125" bestFit="1" customWidth="1"/>
    <col min="1168" max="1168" width="19.28515625" bestFit="1" customWidth="1"/>
    <col min="1169" max="1169" width="20.5703125" bestFit="1" customWidth="1"/>
    <col min="1170" max="1170" width="14.28515625" bestFit="1" customWidth="1"/>
    <col min="1171" max="1171" width="16.42578125" bestFit="1" customWidth="1"/>
    <col min="1172" max="1172" width="19.28515625" bestFit="1" customWidth="1"/>
    <col min="1173" max="1173" width="20.5703125" bestFit="1" customWidth="1"/>
    <col min="1174" max="1174" width="14.28515625" bestFit="1" customWidth="1"/>
    <col min="1175" max="1175" width="16.42578125" bestFit="1" customWidth="1"/>
    <col min="1176" max="1176" width="19.28515625" bestFit="1" customWidth="1"/>
    <col min="1177" max="1177" width="20.5703125" bestFit="1" customWidth="1"/>
    <col min="1178" max="1178" width="14.28515625" bestFit="1" customWidth="1"/>
    <col min="1179" max="1179" width="16.42578125" bestFit="1" customWidth="1"/>
    <col min="1180" max="1180" width="19.28515625" bestFit="1" customWidth="1"/>
    <col min="1181" max="1181" width="20.5703125" bestFit="1" customWidth="1"/>
    <col min="1182" max="1182" width="14.28515625" bestFit="1" customWidth="1"/>
    <col min="1183" max="1183" width="16.42578125" bestFit="1" customWidth="1"/>
    <col min="1184" max="1184" width="19.28515625" bestFit="1" customWidth="1"/>
    <col min="1185" max="1185" width="20.5703125" bestFit="1" customWidth="1"/>
    <col min="1186" max="1186" width="14.28515625" bestFit="1" customWidth="1"/>
    <col min="1187" max="1187" width="16.42578125" bestFit="1" customWidth="1"/>
    <col min="1188" max="1188" width="19.28515625" bestFit="1" customWidth="1"/>
    <col min="1189" max="1189" width="20.5703125" bestFit="1" customWidth="1"/>
    <col min="1190" max="1190" width="14.28515625" bestFit="1" customWidth="1"/>
    <col min="1191" max="1191" width="16.42578125" bestFit="1" customWidth="1"/>
    <col min="1192" max="1192" width="19.28515625" bestFit="1" customWidth="1"/>
    <col min="1193" max="1193" width="20.5703125" bestFit="1" customWidth="1"/>
    <col min="1194" max="1194" width="14.28515625" bestFit="1" customWidth="1"/>
    <col min="1195" max="1195" width="16.42578125" bestFit="1" customWidth="1"/>
    <col min="1196" max="1196" width="19.28515625" bestFit="1" customWidth="1"/>
    <col min="1197" max="1197" width="20.5703125" bestFit="1" customWidth="1"/>
    <col min="1198" max="1198" width="14.28515625" bestFit="1" customWidth="1"/>
    <col min="1199" max="1199" width="16.42578125" bestFit="1" customWidth="1"/>
    <col min="1200" max="1200" width="19.28515625" bestFit="1" customWidth="1"/>
    <col min="1201" max="1201" width="20.5703125" bestFit="1" customWidth="1"/>
    <col min="1202" max="1202" width="14.28515625" bestFit="1" customWidth="1"/>
    <col min="1203" max="1203" width="16.42578125" bestFit="1" customWidth="1"/>
    <col min="1204" max="1204" width="19.28515625" bestFit="1" customWidth="1"/>
    <col min="1205" max="1205" width="20.5703125" bestFit="1" customWidth="1"/>
    <col min="1206" max="1206" width="14.28515625" bestFit="1" customWidth="1"/>
    <col min="1207" max="1207" width="16.42578125" bestFit="1" customWidth="1"/>
    <col min="1208" max="1208" width="19.28515625" bestFit="1" customWidth="1"/>
    <col min="1209" max="1209" width="20.5703125" bestFit="1" customWidth="1"/>
    <col min="1210" max="1210" width="14.28515625" bestFit="1" customWidth="1"/>
    <col min="1211" max="1211" width="16.42578125" bestFit="1" customWidth="1"/>
    <col min="1212" max="1212" width="19.28515625" bestFit="1" customWidth="1"/>
    <col min="1213" max="1213" width="20.5703125" bestFit="1" customWidth="1"/>
    <col min="1214" max="1214" width="14.28515625" bestFit="1" customWidth="1"/>
    <col min="1215" max="1215" width="16.42578125" bestFit="1" customWidth="1"/>
    <col min="1216" max="1216" width="19.28515625" bestFit="1" customWidth="1"/>
    <col min="1217" max="1217" width="20.5703125" bestFit="1" customWidth="1"/>
    <col min="1218" max="1218" width="14.28515625" bestFit="1" customWidth="1"/>
    <col min="1219" max="1219" width="16.42578125" bestFit="1" customWidth="1"/>
    <col min="1220" max="1220" width="19.28515625" bestFit="1" customWidth="1"/>
    <col min="1221" max="1221" width="20.5703125" bestFit="1" customWidth="1"/>
    <col min="1222" max="1222" width="14.28515625" bestFit="1" customWidth="1"/>
    <col min="1223" max="1223" width="16.42578125" bestFit="1" customWidth="1"/>
    <col min="1224" max="1224" width="19.28515625" bestFit="1" customWidth="1"/>
    <col min="1225" max="1225" width="20.5703125" bestFit="1" customWidth="1"/>
    <col min="1226" max="1226" width="14.28515625" bestFit="1" customWidth="1"/>
    <col min="1227" max="1227" width="16.42578125" bestFit="1" customWidth="1"/>
    <col min="1228" max="1228" width="19.28515625" bestFit="1" customWidth="1"/>
    <col min="1229" max="1229" width="20.5703125" bestFit="1" customWidth="1"/>
    <col min="1230" max="1230" width="14.28515625" bestFit="1" customWidth="1"/>
    <col min="1231" max="1231" width="16.42578125" bestFit="1" customWidth="1"/>
    <col min="1232" max="1232" width="19.28515625" bestFit="1" customWidth="1"/>
    <col min="1233" max="1233" width="20.5703125" bestFit="1" customWidth="1"/>
    <col min="1234" max="1234" width="14.28515625" bestFit="1" customWidth="1"/>
    <col min="1235" max="1235" width="16.42578125" bestFit="1" customWidth="1"/>
    <col min="1236" max="1236" width="19.28515625" bestFit="1" customWidth="1"/>
    <col min="1237" max="1237" width="20.5703125" bestFit="1" customWidth="1"/>
    <col min="1238" max="1238" width="14.28515625" bestFit="1" customWidth="1"/>
    <col min="1239" max="1239" width="16.42578125" bestFit="1" customWidth="1"/>
    <col min="1240" max="1240" width="19.28515625" bestFit="1" customWidth="1"/>
    <col min="1241" max="1241" width="20.5703125" bestFit="1" customWidth="1"/>
    <col min="1242" max="1242" width="14.28515625" bestFit="1" customWidth="1"/>
    <col min="1243" max="1243" width="16.42578125" bestFit="1" customWidth="1"/>
    <col min="1244" max="1244" width="19.28515625" bestFit="1" customWidth="1"/>
    <col min="1245" max="1245" width="20.5703125" bestFit="1" customWidth="1"/>
    <col min="1246" max="1246" width="14.28515625" bestFit="1" customWidth="1"/>
    <col min="1247" max="1247" width="16.42578125" bestFit="1" customWidth="1"/>
    <col min="1248" max="1248" width="19.28515625" bestFit="1" customWidth="1"/>
    <col min="1249" max="1249" width="20.5703125" bestFit="1" customWidth="1"/>
    <col min="1250" max="1250" width="14.28515625" bestFit="1" customWidth="1"/>
    <col min="1251" max="1251" width="16.42578125" bestFit="1" customWidth="1"/>
    <col min="1252" max="1252" width="19.28515625" bestFit="1" customWidth="1"/>
    <col min="1253" max="1253" width="20.5703125" bestFit="1" customWidth="1"/>
    <col min="1254" max="1254" width="14.28515625" bestFit="1" customWidth="1"/>
    <col min="1255" max="1255" width="16.42578125" bestFit="1" customWidth="1"/>
    <col min="1256" max="1256" width="19.28515625" bestFit="1" customWidth="1"/>
    <col min="1257" max="1257" width="20.5703125" bestFit="1" customWidth="1"/>
    <col min="1258" max="1258" width="14.28515625" bestFit="1" customWidth="1"/>
    <col min="1259" max="1259" width="16.42578125" bestFit="1" customWidth="1"/>
    <col min="1260" max="1260" width="19.28515625" bestFit="1" customWidth="1"/>
    <col min="1261" max="1261" width="20.5703125" bestFit="1" customWidth="1"/>
    <col min="1262" max="1262" width="14.28515625" bestFit="1" customWidth="1"/>
    <col min="1263" max="1263" width="16.42578125" bestFit="1" customWidth="1"/>
    <col min="1264" max="1264" width="19.28515625" bestFit="1" customWidth="1"/>
    <col min="1265" max="1265" width="20.5703125" bestFit="1" customWidth="1"/>
    <col min="1266" max="1266" width="14.28515625" bestFit="1" customWidth="1"/>
    <col min="1267" max="1267" width="16.42578125" bestFit="1" customWidth="1"/>
    <col min="1268" max="1268" width="19.28515625" bestFit="1" customWidth="1"/>
    <col min="1269" max="1269" width="20.5703125" bestFit="1" customWidth="1"/>
    <col min="1270" max="1270" width="14.28515625" bestFit="1" customWidth="1"/>
    <col min="1271" max="1271" width="16.42578125" bestFit="1" customWidth="1"/>
    <col min="1272" max="1272" width="19.28515625" bestFit="1" customWidth="1"/>
    <col min="1273" max="1273" width="20.5703125" bestFit="1" customWidth="1"/>
    <col min="1274" max="1274" width="14.28515625" bestFit="1" customWidth="1"/>
    <col min="1275" max="1275" width="16.42578125" bestFit="1" customWidth="1"/>
    <col min="1276" max="1276" width="19.28515625" bestFit="1" customWidth="1"/>
    <col min="1277" max="1277" width="20.5703125" bestFit="1" customWidth="1"/>
    <col min="1278" max="1278" width="14.28515625" bestFit="1" customWidth="1"/>
    <col min="1279" max="1279" width="16.42578125" bestFit="1" customWidth="1"/>
    <col min="1280" max="1280" width="19.28515625" bestFit="1" customWidth="1"/>
    <col min="1281" max="1281" width="20.5703125" bestFit="1" customWidth="1"/>
    <col min="1282" max="1282" width="14.28515625" bestFit="1" customWidth="1"/>
    <col min="1283" max="1283" width="16.42578125" bestFit="1" customWidth="1"/>
    <col min="1284" max="1284" width="19.28515625" bestFit="1" customWidth="1"/>
    <col min="1285" max="1285" width="20.5703125" bestFit="1" customWidth="1"/>
    <col min="1286" max="1286" width="14.28515625" bestFit="1" customWidth="1"/>
    <col min="1287" max="1287" width="16.42578125" bestFit="1" customWidth="1"/>
    <col min="1288" max="1288" width="19.28515625" bestFit="1" customWidth="1"/>
    <col min="1289" max="1289" width="20.5703125" bestFit="1" customWidth="1"/>
    <col min="1290" max="1290" width="14.28515625" bestFit="1" customWidth="1"/>
    <col min="1291" max="1291" width="16.42578125" bestFit="1" customWidth="1"/>
    <col min="1292" max="1292" width="19.28515625" bestFit="1" customWidth="1"/>
    <col min="1293" max="1293" width="20.5703125" bestFit="1" customWidth="1"/>
    <col min="1294" max="1294" width="14.28515625" bestFit="1" customWidth="1"/>
    <col min="1295" max="1295" width="16.42578125" bestFit="1" customWidth="1"/>
    <col min="1296" max="1296" width="19.28515625" bestFit="1" customWidth="1"/>
    <col min="1297" max="1297" width="20.5703125" bestFit="1" customWidth="1"/>
    <col min="1298" max="1298" width="14.28515625" bestFit="1" customWidth="1"/>
    <col min="1299" max="1299" width="16.42578125" bestFit="1" customWidth="1"/>
    <col min="1300" max="1300" width="19.28515625" bestFit="1" customWidth="1"/>
    <col min="1301" max="1301" width="20.5703125" bestFit="1" customWidth="1"/>
    <col min="1302" max="1302" width="14.28515625" bestFit="1" customWidth="1"/>
    <col min="1303" max="1303" width="16.42578125" bestFit="1" customWidth="1"/>
    <col min="1304" max="1304" width="19.28515625" bestFit="1" customWidth="1"/>
    <col min="1305" max="1305" width="20.5703125" bestFit="1" customWidth="1"/>
    <col min="1306" max="1306" width="14.28515625" bestFit="1" customWidth="1"/>
    <col min="1307" max="1307" width="16.42578125" bestFit="1" customWidth="1"/>
    <col min="1308" max="1308" width="19.28515625" bestFit="1" customWidth="1"/>
    <col min="1309" max="1309" width="20.5703125" bestFit="1" customWidth="1"/>
    <col min="1310" max="1310" width="14.28515625" bestFit="1" customWidth="1"/>
    <col min="1311" max="1311" width="16.42578125" bestFit="1" customWidth="1"/>
    <col min="1312" max="1312" width="19.28515625" bestFit="1" customWidth="1"/>
    <col min="1313" max="1313" width="20.5703125" bestFit="1" customWidth="1"/>
    <col min="1314" max="1314" width="14.28515625" bestFit="1" customWidth="1"/>
    <col min="1315" max="1315" width="16.42578125" bestFit="1" customWidth="1"/>
    <col min="1316" max="1316" width="19.28515625" bestFit="1" customWidth="1"/>
    <col min="1317" max="1317" width="20.5703125" bestFit="1" customWidth="1"/>
    <col min="1318" max="1318" width="14.28515625" bestFit="1" customWidth="1"/>
    <col min="1319" max="1319" width="16.42578125" bestFit="1" customWidth="1"/>
    <col min="1320" max="1320" width="19.28515625" bestFit="1" customWidth="1"/>
    <col min="1321" max="1321" width="20.5703125" bestFit="1" customWidth="1"/>
    <col min="1322" max="1322" width="14.28515625" bestFit="1" customWidth="1"/>
    <col min="1323" max="1323" width="16.42578125" bestFit="1" customWidth="1"/>
    <col min="1324" max="1324" width="19.28515625" bestFit="1" customWidth="1"/>
    <col min="1325" max="1325" width="20.5703125" bestFit="1" customWidth="1"/>
    <col min="1326" max="1326" width="14.28515625" bestFit="1" customWidth="1"/>
    <col min="1327" max="1327" width="16.42578125" bestFit="1" customWidth="1"/>
    <col min="1328" max="1328" width="19.28515625" bestFit="1" customWidth="1"/>
    <col min="1329" max="1329" width="20.5703125" bestFit="1" customWidth="1"/>
    <col min="1330" max="1330" width="14.28515625" bestFit="1" customWidth="1"/>
    <col min="1331" max="1331" width="16.42578125" bestFit="1" customWidth="1"/>
    <col min="1332" max="1332" width="19.28515625" bestFit="1" customWidth="1"/>
    <col min="1333" max="1333" width="20.5703125" bestFit="1" customWidth="1"/>
    <col min="1334" max="1334" width="14.28515625" bestFit="1" customWidth="1"/>
    <col min="1335" max="1335" width="16.42578125" bestFit="1" customWidth="1"/>
    <col min="1336" max="1336" width="19.28515625" bestFit="1" customWidth="1"/>
    <col min="1337" max="1337" width="20.5703125" bestFit="1" customWidth="1"/>
    <col min="1338" max="1338" width="14.28515625" bestFit="1" customWidth="1"/>
    <col min="1339" max="1339" width="16.42578125" bestFit="1" customWidth="1"/>
    <col min="1340" max="1340" width="19.28515625" bestFit="1" customWidth="1"/>
    <col min="1341" max="1341" width="20.5703125" bestFit="1" customWidth="1"/>
    <col min="1342" max="1342" width="14.28515625" bestFit="1" customWidth="1"/>
    <col min="1343" max="1343" width="16.42578125" bestFit="1" customWidth="1"/>
    <col min="1344" max="1344" width="19.28515625" bestFit="1" customWidth="1"/>
    <col min="1345" max="1345" width="20.5703125" bestFit="1" customWidth="1"/>
    <col min="1346" max="1346" width="14.28515625" bestFit="1" customWidth="1"/>
    <col min="1347" max="1347" width="16.42578125" bestFit="1" customWidth="1"/>
    <col min="1348" max="1348" width="19.28515625" bestFit="1" customWidth="1"/>
    <col min="1349" max="1349" width="20.5703125" bestFit="1" customWidth="1"/>
    <col min="1350" max="1350" width="14.28515625" bestFit="1" customWidth="1"/>
    <col min="1351" max="1351" width="16.42578125" bestFit="1" customWidth="1"/>
    <col min="1352" max="1352" width="19.28515625" bestFit="1" customWidth="1"/>
    <col min="1353" max="1353" width="20.5703125" bestFit="1" customWidth="1"/>
    <col min="1354" max="1354" width="14.28515625" bestFit="1" customWidth="1"/>
    <col min="1355" max="1355" width="16.42578125" bestFit="1" customWidth="1"/>
    <col min="1356" max="1356" width="19.28515625" bestFit="1" customWidth="1"/>
    <col min="1357" max="1357" width="20.5703125" bestFit="1" customWidth="1"/>
    <col min="1358" max="1358" width="14.28515625" bestFit="1" customWidth="1"/>
    <col min="1359" max="1359" width="16.42578125" bestFit="1" customWidth="1"/>
    <col min="1360" max="1360" width="19.28515625" bestFit="1" customWidth="1"/>
    <col min="1361" max="1361" width="20.5703125" bestFit="1" customWidth="1"/>
    <col min="1362" max="1362" width="14.28515625" bestFit="1" customWidth="1"/>
    <col min="1363" max="1363" width="16.42578125" bestFit="1" customWidth="1"/>
    <col min="1364" max="1364" width="19.28515625" bestFit="1" customWidth="1"/>
    <col min="1365" max="1365" width="20.5703125" bestFit="1" customWidth="1"/>
    <col min="1366" max="1366" width="14.28515625" bestFit="1" customWidth="1"/>
    <col min="1367" max="1367" width="16.42578125" bestFit="1" customWidth="1"/>
    <col min="1368" max="1368" width="19.28515625" bestFit="1" customWidth="1"/>
    <col min="1369" max="1369" width="20.5703125" bestFit="1" customWidth="1"/>
    <col min="1370" max="1370" width="14.28515625" bestFit="1" customWidth="1"/>
    <col min="1371" max="1371" width="16.42578125" bestFit="1" customWidth="1"/>
    <col min="1372" max="1372" width="19.28515625" bestFit="1" customWidth="1"/>
    <col min="1373" max="1373" width="20.5703125" bestFit="1" customWidth="1"/>
    <col min="1374" max="1374" width="14.28515625" bestFit="1" customWidth="1"/>
    <col min="1375" max="1375" width="16.42578125" bestFit="1" customWidth="1"/>
    <col min="1376" max="1376" width="19.28515625" bestFit="1" customWidth="1"/>
    <col min="1377" max="1377" width="20.5703125" bestFit="1" customWidth="1"/>
    <col min="1378" max="1378" width="14.28515625" bestFit="1" customWidth="1"/>
    <col min="1379" max="1379" width="16.42578125" bestFit="1" customWidth="1"/>
    <col min="1380" max="1380" width="19.28515625" bestFit="1" customWidth="1"/>
    <col min="1381" max="1381" width="20.5703125" bestFit="1" customWidth="1"/>
    <col min="1382" max="1382" width="14.28515625" bestFit="1" customWidth="1"/>
    <col min="1383" max="1383" width="16.42578125" bestFit="1" customWidth="1"/>
    <col min="1384" max="1384" width="19.28515625" bestFit="1" customWidth="1"/>
    <col min="1385" max="1385" width="20.5703125" bestFit="1" customWidth="1"/>
    <col min="1386" max="1386" width="14.28515625" bestFit="1" customWidth="1"/>
    <col min="1387" max="1387" width="16.42578125" bestFit="1" customWidth="1"/>
    <col min="1388" max="1388" width="19.28515625" bestFit="1" customWidth="1"/>
    <col min="1389" max="1389" width="20.5703125" bestFit="1" customWidth="1"/>
    <col min="1390" max="1390" width="14.28515625" bestFit="1" customWidth="1"/>
    <col min="1391" max="1391" width="16.42578125" bestFit="1" customWidth="1"/>
    <col min="1392" max="1392" width="19.28515625" bestFit="1" customWidth="1"/>
    <col min="1393" max="1393" width="20.5703125" bestFit="1" customWidth="1"/>
    <col min="1394" max="1394" width="14.28515625" bestFit="1" customWidth="1"/>
    <col min="1395" max="1395" width="16.42578125" bestFit="1" customWidth="1"/>
    <col min="1396" max="1396" width="19.28515625" bestFit="1" customWidth="1"/>
    <col min="1397" max="1397" width="20.5703125" bestFit="1" customWidth="1"/>
    <col min="1398" max="1398" width="14.28515625" bestFit="1" customWidth="1"/>
    <col min="1399" max="1399" width="16.42578125" bestFit="1" customWidth="1"/>
    <col min="1400" max="1400" width="19.28515625" bestFit="1" customWidth="1"/>
    <col min="1401" max="1401" width="20.5703125" bestFit="1" customWidth="1"/>
    <col min="1402" max="1402" width="14.28515625" bestFit="1" customWidth="1"/>
    <col min="1403" max="1403" width="16.42578125" bestFit="1" customWidth="1"/>
    <col min="1404" max="1404" width="19.28515625" bestFit="1" customWidth="1"/>
    <col min="1405" max="1405" width="20.5703125" bestFit="1" customWidth="1"/>
    <col min="1406" max="1406" width="14.28515625" bestFit="1" customWidth="1"/>
    <col min="1407" max="1407" width="16.42578125" bestFit="1" customWidth="1"/>
    <col min="1408" max="1408" width="19.28515625" bestFit="1" customWidth="1"/>
    <col min="1409" max="1409" width="20.5703125" bestFit="1" customWidth="1"/>
    <col min="1410" max="1410" width="14.28515625" bestFit="1" customWidth="1"/>
    <col min="1411" max="1411" width="16.42578125" bestFit="1" customWidth="1"/>
    <col min="1412" max="1412" width="19.28515625" bestFit="1" customWidth="1"/>
    <col min="1413" max="1413" width="20.5703125" bestFit="1" customWidth="1"/>
    <col min="1414" max="1414" width="14.28515625" bestFit="1" customWidth="1"/>
    <col min="1415" max="1415" width="16.42578125" bestFit="1" customWidth="1"/>
    <col min="1416" max="1416" width="19.28515625" bestFit="1" customWidth="1"/>
    <col min="1417" max="1417" width="20.5703125" bestFit="1" customWidth="1"/>
    <col min="1418" max="1418" width="14.28515625" bestFit="1" customWidth="1"/>
    <col min="1419" max="1419" width="16.42578125" bestFit="1" customWidth="1"/>
    <col min="1420" max="1420" width="19.28515625" bestFit="1" customWidth="1"/>
    <col min="1421" max="1421" width="20.5703125" bestFit="1" customWidth="1"/>
    <col min="1422" max="1422" width="14.28515625" bestFit="1" customWidth="1"/>
    <col min="1423" max="1423" width="16.42578125" bestFit="1" customWidth="1"/>
    <col min="1424" max="1424" width="19.28515625" bestFit="1" customWidth="1"/>
    <col min="1425" max="1425" width="20.5703125" bestFit="1" customWidth="1"/>
    <col min="1426" max="1426" width="14.28515625" bestFit="1" customWidth="1"/>
    <col min="1427" max="1427" width="16.42578125" bestFit="1" customWidth="1"/>
    <col min="1428" max="1428" width="19.28515625" bestFit="1" customWidth="1"/>
    <col min="1429" max="1429" width="20.5703125" bestFit="1" customWidth="1"/>
    <col min="1430" max="1430" width="14.28515625" bestFit="1" customWidth="1"/>
    <col min="1431" max="1431" width="16.42578125" bestFit="1" customWidth="1"/>
    <col min="1432" max="1432" width="19.28515625" bestFit="1" customWidth="1"/>
    <col min="1433" max="1433" width="20.5703125" bestFit="1" customWidth="1"/>
    <col min="1434" max="1434" width="14.28515625" bestFit="1" customWidth="1"/>
    <col min="1435" max="1435" width="16.42578125" bestFit="1" customWidth="1"/>
    <col min="1436" max="1436" width="19.28515625" bestFit="1" customWidth="1"/>
    <col min="1437" max="1437" width="20.5703125" bestFit="1" customWidth="1"/>
    <col min="1438" max="1438" width="14.28515625" bestFit="1" customWidth="1"/>
    <col min="1439" max="1439" width="16.42578125" bestFit="1" customWidth="1"/>
    <col min="1440" max="1440" width="19.28515625" bestFit="1" customWidth="1"/>
    <col min="1441" max="1441" width="20.5703125" bestFit="1" customWidth="1"/>
    <col min="1442" max="1442" width="14.28515625" bestFit="1" customWidth="1"/>
    <col min="1443" max="1443" width="16.42578125" bestFit="1" customWidth="1"/>
    <col min="1444" max="1444" width="19.28515625" bestFit="1" customWidth="1"/>
    <col min="1445" max="1445" width="20.5703125" bestFit="1" customWidth="1"/>
    <col min="1446" max="1446" width="14.28515625" bestFit="1" customWidth="1"/>
    <col min="1447" max="1447" width="16.42578125" bestFit="1" customWidth="1"/>
    <col min="1448" max="1448" width="19.28515625" bestFit="1" customWidth="1"/>
    <col min="1449" max="1449" width="20.5703125" bestFit="1" customWidth="1"/>
    <col min="1450" max="1450" width="14.28515625" bestFit="1" customWidth="1"/>
    <col min="1451" max="1451" width="16.42578125" bestFit="1" customWidth="1"/>
    <col min="1452" max="1452" width="19.28515625" bestFit="1" customWidth="1"/>
    <col min="1453" max="1453" width="20.5703125" bestFit="1" customWidth="1"/>
    <col min="1454" max="1454" width="14.28515625" bestFit="1" customWidth="1"/>
    <col min="1455" max="1455" width="16.42578125" bestFit="1" customWidth="1"/>
    <col min="1456" max="1456" width="19.28515625" bestFit="1" customWidth="1"/>
    <col min="1457" max="1457" width="20.5703125" bestFit="1" customWidth="1"/>
    <col min="1458" max="1458" width="14.28515625" bestFit="1" customWidth="1"/>
    <col min="1459" max="1459" width="16.42578125" bestFit="1" customWidth="1"/>
    <col min="1460" max="1460" width="19.28515625" bestFit="1" customWidth="1"/>
    <col min="1461" max="1461" width="20.5703125" bestFit="1" customWidth="1"/>
    <col min="1462" max="1462" width="14.28515625" bestFit="1" customWidth="1"/>
    <col min="1463" max="1463" width="16.42578125" bestFit="1" customWidth="1"/>
    <col min="1464" max="1464" width="19.28515625" bestFit="1" customWidth="1"/>
    <col min="1465" max="1465" width="20.5703125" bestFit="1" customWidth="1"/>
    <col min="1466" max="1466" width="14.28515625" bestFit="1" customWidth="1"/>
    <col min="1467" max="1467" width="16.42578125" bestFit="1" customWidth="1"/>
    <col min="1468" max="1468" width="19.28515625" bestFit="1" customWidth="1"/>
    <col min="1469" max="1469" width="20.5703125" bestFit="1" customWidth="1"/>
    <col min="1470" max="1470" width="14.28515625" bestFit="1" customWidth="1"/>
    <col min="1471" max="1471" width="16.42578125" bestFit="1" customWidth="1"/>
    <col min="1472" max="1472" width="19.28515625" bestFit="1" customWidth="1"/>
    <col min="1473" max="1473" width="20.5703125" bestFit="1" customWidth="1"/>
    <col min="1474" max="1474" width="14.28515625" bestFit="1" customWidth="1"/>
    <col min="1475" max="1475" width="16.42578125" bestFit="1" customWidth="1"/>
    <col min="1476" max="1476" width="19.28515625" bestFit="1" customWidth="1"/>
    <col min="1477" max="1477" width="20.5703125" bestFit="1" customWidth="1"/>
    <col min="1478" max="1478" width="14.28515625" bestFit="1" customWidth="1"/>
    <col min="1479" max="1479" width="16.42578125" bestFit="1" customWidth="1"/>
    <col min="1480" max="1480" width="19.28515625" bestFit="1" customWidth="1"/>
    <col min="1481" max="1481" width="20.5703125" bestFit="1" customWidth="1"/>
    <col min="1482" max="1482" width="14.28515625" bestFit="1" customWidth="1"/>
    <col min="1483" max="1483" width="16.42578125" bestFit="1" customWidth="1"/>
    <col min="1484" max="1484" width="19.28515625" bestFit="1" customWidth="1"/>
    <col min="1485" max="1485" width="20.5703125" bestFit="1" customWidth="1"/>
    <col min="1486" max="1486" width="14.28515625" bestFit="1" customWidth="1"/>
    <col min="1487" max="1487" width="16.42578125" bestFit="1" customWidth="1"/>
    <col min="1488" max="1488" width="19.28515625" bestFit="1" customWidth="1"/>
    <col min="1489" max="1489" width="20.5703125" bestFit="1" customWidth="1"/>
    <col min="1490" max="1490" width="14.28515625" bestFit="1" customWidth="1"/>
    <col min="1491" max="1491" width="16.42578125" bestFit="1" customWidth="1"/>
    <col min="1492" max="1492" width="19.28515625" bestFit="1" customWidth="1"/>
    <col min="1493" max="1493" width="20.5703125" bestFit="1" customWidth="1"/>
    <col min="1494" max="1494" width="14.28515625" bestFit="1" customWidth="1"/>
    <col min="1495" max="1495" width="16.42578125" bestFit="1" customWidth="1"/>
    <col min="1496" max="1496" width="19.28515625" bestFit="1" customWidth="1"/>
    <col min="1497" max="1497" width="20.5703125" bestFit="1" customWidth="1"/>
    <col min="1498" max="1498" width="14.28515625" bestFit="1" customWidth="1"/>
    <col min="1499" max="1499" width="16.42578125" bestFit="1" customWidth="1"/>
    <col min="1500" max="1500" width="19.28515625" bestFit="1" customWidth="1"/>
    <col min="1501" max="1501" width="20.5703125" bestFit="1" customWidth="1"/>
    <col min="1502" max="1502" width="14.28515625" bestFit="1" customWidth="1"/>
    <col min="1503" max="1503" width="16.42578125" bestFit="1" customWidth="1"/>
    <col min="1504" max="1504" width="19.28515625" bestFit="1" customWidth="1"/>
    <col min="1505" max="1505" width="20.5703125" bestFit="1" customWidth="1"/>
    <col min="1506" max="1506" width="14.28515625" bestFit="1" customWidth="1"/>
    <col min="1507" max="1507" width="16.42578125" bestFit="1" customWidth="1"/>
    <col min="1508" max="1508" width="19.28515625" bestFit="1" customWidth="1"/>
    <col min="1509" max="1509" width="20.5703125" bestFit="1" customWidth="1"/>
    <col min="1510" max="1510" width="14.28515625" bestFit="1" customWidth="1"/>
    <col min="1511" max="1511" width="16.42578125" bestFit="1" customWidth="1"/>
    <col min="1512" max="1512" width="19.28515625" bestFit="1" customWidth="1"/>
    <col min="1513" max="1513" width="20.5703125" bestFit="1" customWidth="1"/>
    <col min="1514" max="1514" width="14.28515625" bestFit="1" customWidth="1"/>
    <col min="1515" max="1515" width="16.42578125" bestFit="1" customWidth="1"/>
    <col min="1516" max="1516" width="19.28515625" bestFit="1" customWidth="1"/>
    <col min="1517" max="1517" width="20.5703125" bestFit="1" customWidth="1"/>
    <col min="1518" max="1518" width="14.28515625" bestFit="1" customWidth="1"/>
    <col min="1519" max="1519" width="16.42578125" bestFit="1" customWidth="1"/>
    <col min="1520" max="1520" width="19.28515625" bestFit="1" customWidth="1"/>
    <col min="1521" max="1521" width="20.5703125" bestFit="1" customWidth="1"/>
    <col min="1522" max="1522" width="14.28515625" bestFit="1" customWidth="1"/>
    <col min="1523" max="1523" width="16.42578125" bestFit="1" customWidth="1"/>
    <col min="1524" max="1524" width="19.28515625" bestFit="1" customWidth="1"/>
    <col min="1525" max="1525" width="20.5703125" bestFit="1" customWidth="1"/>
    <col min="1526" max="1526" width="14.28515625" bestFit="1" customWidth="1"/>
    <col min="1527" max="1527" width="16.42578125" bestFit="1" customWidth="1"/>
    <col min="1528" max="1528" width="19.28515625" bestFit="1" customWidth="1"/>
    <col min="1529" max="1529" width="20.5703125" bestFit="1" customWidth="1"/>
    <col min="1530" max="1530" width="14.28515625" bestFit="1" customWidth="1"/>
    <col min="1531" max="1531" width="16.42578125" bestFit="1" customWidth="1"/>
    <col min="1532" max="1532" width="19.28515625" bestFit="1" customWidth="1"/>
    <col min="1533" max="1533" width="20.5703125" bestFit="1" customWidth="1"/>
    <col min="1534" max="1534" width="14.28515625" bestFit="1" customWidth="1"/>
    <col min="1535" max="1535" width="16.42578125" bestFit="1" customWidth="1"/>
    <col min="1536" max="1536" width="19.28515625" bestFit="1" customWidth="1"/>
    <col min="1537" max="1537" width="20.5703125" bestFit="1" customWidth="1"/>
    <col min="1538" max="1538" width="14.28515625" bestFit="1" customWidth="1"/>
    <col min="1539" max="1539" width="16.42578125" bestFit="1" customWidth="1"/>
    <col min="1540" max="1540" width="19.28515625" bestFit="1" customWidth="1"/>
    <col min="1541" max="1541" width="20.5703125" bestFit="1" customWidth="1"/>
    <col min="1542" max="1542" width="14.28515625" bestFit="1" customWidth="1"/>
    <col min="1543" max="1543" width="16.42578125" bestFit="1" customWidth="1"/>
    <col min="1544" max="1544" width="19.28515625" bestFit="1" customWidth="1"/>
    <col min="1545" max="1545" width="20.5703125" bestFit="1" customWidth="1"/>
    <col min="1546" max="1546" width="14.28515625" bestFit="1" customWidth="1"/>
    <col min="1547" max="1547" width="16.42578125" bestFit="1" customWidth="1"/>
    <col min="1548" max="1548" width="19.28515625" bestFit="1" customWidth="1"/>
    <col min="1549" max="1549" width="20.5703125" bestFit="1" customWidth="1"/>
    <col min="1550" max="1550" width="14.28515625" bestFit="1" customWidth="1"/>
    <col min="1551" max="1551" width="16.42578125" bestFit="1" customWidth="1"/>
    <col min="1552" max="1552" width="19.28515625" bestFit="1" customWidth="1"/>
    <col min="1553" max="1553" width="20.5703125" bestFit="1" customWidth="1"/>
    <col min="1554" max="1554" width="14.28515625" bestFit="1" customWidth="1"/>
    <col min="1555" max="1555" width="16.42578125" bestFit="1" customWidth="1"/>
    <col min="1556" max="1556" width="19.28515625" bestFit="1" customWidth="1"/>
    <col min="1557" max="1557" width="20.5703125" bestFit="1" customWidth="1"/>
    <col min="1558" max="1558" width="14.28515625" bestFit="1" customWidth="1"/>
    <col min="1559" max="1559" width="16.42578125" bestFit="1" customWidth="1"/>
    <col min="1560" max="1560" width="19.28515625" bestFit="1" customWidth="1"/>
    <col min="1561" max="1561" width="20.5703125" bestFit="1" customWidth="1"/>
    <col min="1562" max="1562" width="14.28515625" bestFit="1" customWidth="1"/>
    <col min="1563" max="1563" width="16.42578125" bestFit="1" customWidth="1"/>
    <col min="1564" max="1564" width="19.28515625" bestFit="1" customWidth="1"/>
    <col min="1565" max="1565" width="20.5703125" bestFit="1" customWidth="1"/>
    <col min="1566" max="1566" width="14.28515625" bestFit="1" customWidth="1"/>
    <col min="1567" max="1567" width="16.42578125" bestFit="1" customWidth="1"/>
    <col min="1568" max="1568" width="19.28515625" bestFit="1" customWidth="1"/>
    <col min="1569" max="1569" width="20.5703125" bestFit="1" customWidth="1"/>
    <col min="1570" max="1570" width="14.28515625" bestFit="1" customWidth="1"/>
    <col min="1571" max="1571" width="16.42578125" bestFit="1" customWidth="1"/>
    <col min="1572" max="1572" width="19.28515625" bestFit="1" customWidth="1"/>
    <col min="1573" max="1573" width="20.5703125" bestFit="1" customWidth="1"/>
    <col min="1574" max="1574" width="14.28515625" bestFit="1" customWidth="1"/>
    <col min="1575" max="1575" width="16.42578125" bestFit="1" customWidth="1"/>
    <col min="1576" max="1576" width="19.28515625" bestFit="1" customWidth="1"/>
    <col min="1577" max="1577" width="20.5703125" bestFit="1" customWidth="1"/>
    <col min="1578" max="1578" width="14.28515625" bestFit="1" customWidth="1"/>
    <col min="1579" max="1579" width="16.42578125" bestFit="1" customWidth="1"/>
    <col min="1580" max="1580" width="19.28515625" bestFit="1" customWidth="1"/>
    <col min="1581" max="1581" width="20.5703125" bestFit="1" customWidth="1"/>
    <col min="1582" max="1582" width="14.28515625" bestFit="1" customWidth="1"/>
    <col min="1583" max="1583" width="16.42578125" bestFit="1" customWidth="1"/>
    <col min="1584" max="1584" width="19.28515625" bestFit="1" customWidth="1"/>
    <col min="1585" max="1585" width="20.5703125" bestFit="1" customWidth="1"/>
    <col min="1586" max="1586" width="14.28515625" bestFit="1" customWidth="1"/>
    <col min="1587" max="1587" width="16.42578125" bestFit="1" customWidth="1"/>
    <col min="1588" max="1588" width="19.28515625" bestFit="1" customWidth="1"/>
    <col min="1589" max="1589" width="20.5703125" bestFit="1" customWidth="1"/>
    <col min="1590" max="1590" width="14.28515625" bestFit="1" customWidth="1"/>
    <col min="1591" max="1591" width="16.42578125" bestFit="1" customWidth="1"/>
    <col min="1592" max="1592" width="19.28515625" bestFit="1" customWidth="1"/>
    <col min="1593" max="1593" width="20.5703125" bestFit="1" customWidth="1"/>
    <col min="1594" max="1594" width="14.28515625" bestFit="1" customWidth="1"/>
    <col min="1595" max="1595" width="16.42578125" bestFit="1" customWidth="1"/>
    <col min="1596" max="1596" width="19.28515625" bestFit="1" customWidth="1"/>
    <col min="1597" max="1597" width="20.5703125" bestFit="1" customWidth="1"/>
    <col min="1598" max="1598" width="14.28515625" bestFit="1" customWidth="1"/>
    <col min="1599" max="1599" width="16.42578125" bestFit="1" customWidth="1"/>
    <col min="1600" max="1600" width="19.28515625" bestFit="1" customWidth="1"/>
    <col min="1601" max="1601" width="20.5703125" bestFit="1" customWidth="1"/>
    <col min="1602" max="1602" width="14.28515625" bestFit="1" customWidth="1"/>
    <col min="1603" max="1603" width="16.42578125" bestFit="1" customWidth="1"/>
    <col min="1604" max="1604" width="19.28515625" bestFit="1" customWidth="1"/>
    <col min="1605" max="1605" width="20.5703125" bestFit="1" customWidth="1"/>
    <col min="1606" max="1606" width="14.28515625" bestFit="1" customWidth="1"/>
    <col min="1607" max="1607" width="16.42578125" bestFit="1" customWidth="1"/>
    <col min="1608" max="1608" width="19.28515625" bestFit="1" customWidth="1"/>
    <col min="1609" max="1609" width="20.5703125" bestFit="1" customWidth="1"/>
    <col min="1610" max="1610" width="14.28515625" bestFit="1" customWidth="1"/>
    <col min="1611" max="1611" width="16.42578125" bestFit="1" customWidth="1"/>
    <col min="1612" max="1612" width="19.28515625" bestFit="1" customWidth="1"/>
    <col min="1613" max="1613" width="20.5703125" bestFit="1" customWidth="1"/>
    <col min="1614" max="1614" width="14.28515625" bestFit="1" customWidth="1"/>
    <col min="1615" max="1615" width="16.42578125" bestFit="1" customWidth="1"/>
    <col min="1616" max="1616" width="19.28515625" bestFit="1" customWidth="1"/>
    <col min="1617" max="1617" width="20.5703125" bestFit="1" customWidth="1"/>
    <col min="1618" max="1618" width="14.28515625" bestFit="1" customWidth="1"/>
    <col min="1619" max="1619" width="16.42578125" bestFit="1" customWidth="1"/>
    <col min="1620" max="1620" width="19.28515625" bestFit="1" customWidth="1"/>
    <col min="1621" max="1621" width="20.5703125" bestFit="1" customWidth="1"/>
    <col min="1622" max="1622" width="14.28515625" bestFit="1" customWidth="1"/>
    <col min="1623" max="1623" width="16.42578125" bestFit="1" customWidth="1"/>
    <col min="1624" max="1624" width="19.28515625" bestFit="1" customWidth="1"/>
    <col min="1625" max="1625" width="20.5703125" bestFit="1" customWidth="1"/>
    <col min="1626" max="1626" width="14.28515625" bestFit="1" customWidth="1"/>
    <col min="1627" max="1627" width="16.42578125" bestFit="1" customWidth="1"/>
    <col min="1628" max="1628" width="19.28515625" bestFit="1" customWidth="1"/>
    <col min="1629" max="1629" width="20.5703125" bestFit="1" customWidth="1"/>
    <col min="1630" max="1630" width="14.28515625" bestFit="1" customWidth="1"/>
    <col min="1631" max="1631" width="16.42578125" bestFit="1" customWidth="1"/>
    <col min="1632" max="1632" width="19.28515625" bestFit="1" customWidth="1"/>
    <col min="1633" max="1633" width="20.5703125" bestFit="1" customWidth="1"/>
    <col min="1634" max="1634" width="14.28515625" bestFit="1" customWidth="1"/>
    <col min="1635" max="1635" width="16.42578125" bestFit="1" customWidth="1"/>
    <col min="1636" max="1636" width="19.28515625" bestFit="1" customWidth="1"/>
    <col min="1637" max="1637" width="20.5703125" bestFit="1" customWidth="1"/>
    <col min="1638" max="1638" width="14.28515625" bestFit="1" customWidth="1"/>
    <col min="1639" max="1639" width="16.42578125" bestFit="1" customWidth="1"/>
    <col min="1640" max="1640" width="19.28515625" bestFit="1" customWidth="1"/>
    <col min="1641" max="1641" width="20.5703125" bestFit="1" customWidth="1"/>
    <col min="1642" max="1642" width="14.28515625" bestFit="1" customWidth="1"/>
    <col min="1643" max="1643" width="16.42578125" bestFit="1" customWidth="1"/>
    <col min="1644" max="1644" width="19.28515625" bestFit="1" customWidth="1"/>
    <col min="1645" max="1645" width="20.5703125" bestFit="1" customWidth="1"/>
    <col min="1646" max="1646" width="14.28515625" bestFit="1" customWidth="1"/>
    <col min="1647" max="1647" width="16.42578125" bestFit="1" customWidth="1"/>
    <col min="1648" max="1648" width="19.28515625" bestFit="1" customWidth="1"/>
    <col min="1649" max="1649" width="20.5703125" bestFit="1" customWidth="1"/>
    <col min="1650" max="1650" width="14.28515625" bestFit="1" customWidth="1"/>
    <col min="1651" max="1651" width="16.42578125" bestFit="1" customWidth="1"/>
    <col min="1652" max="1652" width="19.28515625" bestFit="1" customWidth="1"/>
    <col min="1653" max="1653" width="20.5703125" bestFit="1" customWidth="1"/>
    <col min="1654" max="1654" width="14.28515625" bestFit="1" customWidth="1"/>
    <col min="1655" max="1655" width="16.42578125" bestFit="1" customWidth="1"/>
    <col min="1656" max="1656" width="19.28515625" bestFit="1" customWidth="1"/>
    <col min="1657" max="1657" width="20.5703125" bestFit="1" customWidth="1"/>
    <col min="1658" max="1658" width="14.28515625" bestFit="1" customWidth="1"/>
    <col min="1659" max="1659" width="16.42578125" bestFit="1" customWidth="1"/>
    <col min="1660" max="1660" width="19.28515625" bestFit="1" customWidth="1"/>
    <col min="1661" max="1661" width="20.5703125" bestFit="1" customWidth="1"/>
    <col min="1662" max="1662" width="14.28515625" bestFit="1" customWidth="1"/>
    <col min="1663" max="1663" width="16.42578125" bestFit="1" customWidth="1"/>
    <col min="1664" max="1664" width="19.28515625" bestFit="1" customWidth="1"/>
    <col min="1665" max="1665" width="20.5703125" bestFit="1" customWidth="1"/>
    <col min="1666" max="1666" width="14.28515625" bestFit="1" customWidth="1"/>
    <col min="1667" max="1667" width="16.42578125" bestFit="1" customWidth="1"/>
    <col min="1668" max="1668" width="19.28515625" bestFit="1" customWidth="1"/>
    <col min="1669" max="1669" width="20.5703125" bestFit="1" customWidth="1"/>
    <col min="1670" max="1670" width="14.28515625" bestFit="1" customWidth="1"/>
    <col min="1671" max="1671" width="16.42578125" bestFit="1" customWidth="1"/>
    <col min="1672" max="1672" width="19.28515625" bestFit="1" customWidth="1"/>
    <col min="1673" max="1673" width="20.5703125" bestFit="1" customWidth="1"/>
    <col min="1674" max="1674" width="14.28515625" bestFit="1" customWidth="1"/>
    <col min="1675" max="1675" width="16.42578125" bestFit="1" customWidth="1"/>
    <col min="1676" max="1676" width="19.28515625" bestFit="1" customWidth="1"/>
    <col min="1677" max="1677" width="20.5703125" bestFit="1" customWidth="1"/>
    <col min="1678" max="1678" width="14.28515625" bestFit="1" customWidth="1"/>
    <col min="1679" max="1679" width="16.42578125" bestFit="1" customWidth="1"/>
    <col min="1680" max="1680" width="19.28515625" bestFit="1" customWidth="1"/>
    <col min="1681" max="1681" width="20.5703125" bestFit="1" customWidth="1"/>
    <col min="1682" max="1682" width="14.28515625" bestFit="1" customWidth="1"/>
    <col min="1683" max="1683" width="16.42578125" bestFit="1" customWidth="1"/>
    <col min="1684" max="1684" width="19.28515625" bestFit="1" customWidth="1"/>
    <col min="1685" max="1685" width="20.5703125" bestFit="1" customWidth="1"/>
    <col min="1686" max="1686" width="14.28515625" bestFit="1" customWidth="1"/>
    <col min="1687" max="1687" width="16.42578125" bestFit="1" customWidth="1"/>
    <col min="1688" max="1688" width="19.28515625" bestFit="1" customWidth="1"/>
    <col min="1689" max="1689" width="20.5703125" bestFit="1" customWidth="1"/>
    <col min="1690" max="1690" width="14.28515625" bestFit="1" customWidth="1"/>
    <col min="1691" max="1691" width="16.42578125" bestFit="1" customWidth="1"/>
    <col min="1692" max="1692" width="19.28515625" bestFit="1" customWidth="1"/>
    <col min="1693" max="1693" width="20.5703125" bestFit="1" customWidth="1"/>
    <col min="1694" max="1694" width="14.28515625" bestFit="1" customWidth="1"/>
    <col min="1695" max="1695" width="16.42578125" bestFit="1" customWidth="1"/>
    <col min="1696" max="1696" width="19.28515625" bestFit="1" customWidth="1"/>
    <col min="1697" max="1697" width="20.5703125" bestFit="1" customWidth="1"/>
    <col min="1698" max="1698" width="14.28515625" bestFit="1" customWidth="1"/>
    <col min="1699" max="1699" width="16.42578125" bestFit="1" customWidth="1"/>
    <col min="1700" max="1700" width="19.28515625" bestFit="1" customWidth="1"/>
    <col min="1701" max="1701" width="20.5703125" bestFit="1" customWidth="1"/>
    <col min="1702" max="1702" width="14.28515625" bestFit="1" customWidth="1"/>
    <col min="1703" max="1703" width="16.42578125" bestFit="1" customWidth="1"/>
    <col min="1704" max="1704" width="19.28515625" bestFit="1" customWidth="1"/>
    <col min="1705" max="1705" width="20.5703125" bestFit="1" customWidth="1"/>
    <col min="1706" max="1706" width="14.28515625" bestFit="1" customWidth="1"/>
    <col min="1707" max="1707" width="16.42578125" bestFit="1" customWidth="1"/>
    <col min="1708" max="1708" width="19.28515625" bestFit="1" customWidth="1"/>
    <col min="1709" max="1709" width="20.5703125" bestFit="1" customWidth="1"/>
    <col min="1710" max="1710" width="14.28515625" bestFit="1" customWidth="1"/>
    <col min="1711" max="1711" width="16.42578125" bestFit="1" customWidth="1"/>
    <col min="1712" max="1712" width="19.28515625" bestFit="1" customWidth="1"/>
    <col min="1713" max="1713" width="20.5703125" bestFit="1" customWidth="1"/>
    <col min="1714" max="1714" width="14.28515625" bestFit="1" customWidth="1"/>
    <col min="1715" max="1715" width="16.42578125" bestFit="1" customWidth="1"/>
    <col min="1716" max="1716" width="19.28515625" bestFit="1" customWidth="1"/>
    <col min="1717" max="1717" width="20.5703125" bestFit="1" customWidth="1"/>
    <col min="1718" max="1718" width="14.28515625" bestFit="1" customWidth="1"/>
    <col min="1719" max="1719" width="16.42578125" bestFit="1" customWidth="1"/>
    <col min="1720" max="1720" width="19.28515625" bestFit="1" customWidth="1"/>
    <col min="1721" max="1721" width="20.5703125" bestFit="1" customWidth="1"/>
    <col min="1722" max="1722" width="14.28515625" bestFit="1" customWidth="1"/>
    <col min="1723" max="1723" width="16.42578125" bestFit="1" customWidth="1"/>
    <col min="1724" max="1724" width="19.28515625" bestFit="1" customWidth="1"/>
    <col min="1725" max="1725" width="20.5703125" bestFit="1" customWidth="1"/>
    <col min="1726" max="1726" width="14.28515625" bestFit="1" customWidth="1"/>
    <col min="1727" max="1727" width="16.42578125" bestFit="1" customWidth="1"/>
    <col min="1728" max="1728" width="19.28515625" bestFit="1" customWidth="1"/>
    <col min="1729" max="1729" width="20.5703125" bestFit="1" customWidth="1"/>
    <col min="1730" max="1730" width="14.28515625" bestFit="1" customWidth="1"/>
    <col min="1731" max="1731" width="16.42578125" bestFit="1" customWidth="1"/>
    <col min="1732" max="1732" width="19.28515625" bestFit="1" customWidth="1"/>
    <col min="1733" max="1733" width="20.5703125" bestFit="1" customWidth="1"/>
    <col min="1734" max="1734" width="14.28515625" bestFit="1" customWidth="1"/>
    <col min="1735" max="1735" width="16.42578125" bestFit="1" customWidth="1"/>
    <col min="1736" max="1736" width="19.28515625" bestFit="1" customWidth="1"/>
    <col min="1737" max="1737" width="20.5703125" bestFit="1" customWidth="1"/>
    <col min="1738" max="1738" width="14.28515625" bestFit="1" customWidth="1"/>
    <col min="1739" max="1739" width="16.42578125" bestFit="1" customWidth="1"/>
    <col min="1740" max="1740" width="19.28515625" bestFit="1" customWidth="1"/>
    <col min="1741" max="1741" width="20.5703125" bestFit="1" customWidth="1"/>
    <col min="1742" max="1742" width="14.28515625" bestFit="1" customWidth="1"/>
    <col min="1743" max="1743" width="16.42578125" bestFit="1" customWidth="1"/>
    <col min="1744" max="1744" width="19.28515625" bestFit="1" customWidth="1"/>
    <col min="1745" max="1745" width="20.5703125" bestFit="1" customWidth="1"/>
    <col min="1746" max="1746" width="14.28515625" bestFit="1" customWidth="1"/>
    <col min="1747" max="1747" width="16.42578125" bestFit="1" customWidth="1"/>
    <col min="1748" max="1748" width="19.28515625" bestFit="1" customWidth="1"/>
    <col min="1749" max="1749" width="20.5703125" bestFit="1" customWidth="1"/>
    <col min="1750" max="1750" width="14.28515625" bestFit="1" customWidth="1"/>
    <col min="1751" max="1751" width="16.42578125" bestFit="1" customWidth="1"/>
    <col min="1752" max="1752" width="19.28515625" bestFit="1" customWidth="1"/>
    <col min="1753" max="1753" width="20.5703125" bestFit="1" customWidth="1"/>
    <col min="1754" max="1754" width="14.28515625" bestFit="1" customWidth="1"/>
    <col min="1755" max="1755" width="16.42578125" bestFit="1" customWidth="1"/>
    <col min="1756" max="1756" width="19.28515625" bestFit="1" customWidth="1"/>
    <col min="1757" max="1757" width="20.5703125" bestFit="1" customWidth="1"/>
    <col min="1758" max="1758" width="14.28515625" bestFit="1" customWidth="1"/>
    <col min="1759" max="1759" width="16.42578125" bestFit="1" customWidth="1"/>
    <col min="1760" max="1760" width="19.28515625" bestFit="1" customWidth="1"/>
    <col min="1761" max="1761" width="20.5703125" bestFit="1" customWidth="1"/>
    <col min="1762" max="1762" width="14.28515625" bestFit="1" customWidth="1"/>
    <col min="1763" max="1763" width="16.42578125" bestFit="1" customWidth="1"/>
    <col min="1764" max="1764" width="19.28515625" bestFit="1" customWidth="1"/>
    <col min="1765" max="1765" width="20.5703125" bestFit="1" customWidth="1"/>
    <col min="1766" max="1766" width="14.28515625" bestFit="1" customWidth="1"/>
    <col min="1767" max="1767" width="16.42578125" bestFit="1" customWidth="1"/>
    <col min="1768" max="1768" width="19.28515625" bestFit="1" customWidth="1"/>
    <col min="1769" max="1769" width="20.5703125" bestFit="1" customWidth="1"/>
    <col min="1770" max="1770" width="14.28515625" bestFit="1" customWidth="1"/>
    <col min="1771" max="1771" width="16.42578125" bestFit="1" customWidth="1"/>
    <col min="1772" max="1772" width="19.28515625" bestFit="1" customWidth="1"/>
    <col min="1773" max="1773" width="20.5703125" bestFit="1" customWidth="1"/>
    <col min="1774" max="1774" width="14.28515625" bestFit="1" customWidth="1"/>
    <col min="1775" max="1775" width="16.42578125" bestFit="1" customWidth="1"/>
    <col min="1776" max="1776" width="19.28515625" bestFit="1" customWidth="1"/>
    <col min="1777" max="1777" width="20.5703125" bestFit="1" customWidth="1"/>
    <col min="1778" max="1778" width="14.28515625" bestFit="1" customWidth="1"/>
    <col min="1779" max="1779" width="16.42578125" bestFit="1" customWidth="1"/>
    <col min="1780" max="1780" width="19.28515625" bestFit="1" customWidth="1"/>
    <col min="1781" max="1781" width="20.5703125" bestFit="1" customWidth="1"/>
    <col min="1782" max="1782" width="14.28515625" bestFit="1" customWidth="1"/>
    <col min="1783" max="1783" width="16.42578125" bestFit="1" customWidth="1"/>
    <col min="1784" max="1784" width="19.28515625" bestFit="1" customWidth="1"/>
    <col min="1785" max="1785" width="20.5703125" bestFit="1" customWidth="1"/>
    <col min="1786" max="1786" width="14.28515625" bestFit="1" customWidth="1"/>
    <col min="1787" max="1787" width="16.42578125" bestFit="1" customWidth="1"/>
    <col min="1788" max="1788" width="19.28515625" bestFit="1" customWidth="1"/>
    <col min="1789" max="1789" width="20.5703125" bestFit="1" customWidth="1"/>
    <col min="1790" max="1790" width="14.28515625" bestFit="1" customWidth="1"/>
    <col min="1791" max="1791" width="16.42578125" bestFit="1" customWidth="1"/>
    <col min="1792" max="1792" width="19.28515625" bestFit="1" customWidth="1"/>
    <col min="1793" max="1793" width="20.5703125" bestFit="1" customWidth="1"/>
    <col min="1794" max="1794" width="14.28515625" bestFit="1" customWidth="1"/>
    <col min="1795" max="1795" width="16.42578125" bestFit="1" customWidth="1"/>
    <col min="1796" max="1796" width="19.28515625" bestFit="1" customWidth="1"/>
    <col min="1797" max="1797" width="20.5703125" bestFit="1" customWidth="1"/>
    <col min="1798" max="1798" width="14.28515625" bestFit="1" customWidth="1"/>
    <col min="1799" max="1799" width="16.42578125" bestFit="1" customWidth="1"/>
    <col min="1800" max="1800" width="19.28515625" bestFit="1" customWidth="1"/>
    <col min="1801" max="1801" width="20.5703125" bestFit="1" customWidth="1"/>
    <col min="1802" max="1802" width="14.28515625" bestFit="1" customWidth="1"/>
    <col min="1803" max="1803" width="16.42578125" bestFit="1" customWidth="1"/>
    <col min="1804" max="1804" width="19.28515625" bestFit="1" customWidth="1"/>
    <col min="1805" max="1805" width="20.5703125" bestFit="1" customWidth="1"/>
    <col min="1806" max="1806" width="14.28515625" bestFit="1" customWidth="1"/>
    <col min="1807" max="1807" width="16.42578125" bestFit="1" customWidth="1"/>
    <col min="1808" max="1808" width="19.28515625" bestFit="1" customWidth="1"/>
    <col min="1809" max="1809" width="20.5703125" bestFit="1" customWidth="1"/>
    <col min="1810" max="1810" width="14.28515625" bestFit="1" customWidth="1"/>
    <col min="1811" max="1811" width="16.42578125" bestFit="1" customWidth="1"/>
    <col min="1812" max="1812" width="19.28515625" bestFit="1" customWidth="1"/>
    <col min="1813" max="1813" width="20.5703125" bestFit="1" customWidth="1"/>
    <col min="1814" max="1814" width="14.28515625" bestFit="1" customWidth="1"/>
    <col min="1815" max="1815" width="16.42578125" bestFit="1" customWidth="1"/>
    <col min="1816" max="1816" width="19.28515625" bestFit="1" customWidth="1"/>
    <col min="1817" max="1817" width="20.5703125" bestFit="1" customWidth="1"/>
    <col min="1818" max="1818" width="14.28515625" bestFit="1" customWidth="1"/>
    <col min="1819" max="1819" width="16.42578125" bestFit="1" customWidth="1"/>
    <col min="1820" max="1820" width="19.28515625" bestFit="1" customWidth="1"/>
    <col min="1821" max="1821" width="20.5703125" bestFit="1" customWidth="1"/>
    <col min="1822" max="1822" width="14.28515625" bestFit="1" customWidth="1"/>
    <col min="1823" max="1823" width="16.42578125" bestFit="1" customWidth="1"/>
    <col min="1824" max="1824" width="19.28515625" bestFit="1" customWidth="1"/>
    <col min="1825" max="1825" width="20.5703125" bestFit="1" customWidth="1"/>
    <col min="1826" max="1826" width="14.28515625" bestFit="1" customWidth="1"/>
    <col min="1827" max="1827" width="16.42578125" bestFit="1" customWidth="1"/>
    <col min="1828" max="1828" width="19.28515625" bestFit="1" customWidth="1"/>
    <col min="1829" max="1829" width="20.5703125" bestFit="1" customWidth="1"/>
    <col min="1830" max="1830" width="14.28515625" bestFit="1" customWidth="1"/>
    <col min="1831" max="1831" width="16.42578125" bestFit="1" customWidth="1"/>
    <col min="1832" max="1832" width="19.28515625" bestFit="1" customWidth="1"/>
    <col min="1833" max="1833" width="20.5703125" bestFit="1" customWidth="1"/>
    <col min="1834" max="1834" width="14.28515625" bestFit="1" customWidth="1"/>
    <col min="1835" max="1835" width="16.42578125" bestFit="1" customWidth="1"/>
    <col min="1836" max="1836" width="19.28515625" bestFit="1" customWidth="1"/>
    <col min="1837" max="1837" width="20.5703125" bestFit="1" customWidth="1"/>
    <col min="1838" max="1838" width="14.28515625" bestFit="1" customWidth="1"/>
    <col min="1839" max="1839" width="16.42578125" bestFit="1" customWidth="1"/>
    <col min="1840" max="1840" width="19.28515625" bestFit="1" customWidth="1"/>
    <col min="1841" max="1841" width="20.5703125" bestFit="1" customWidth="1"/>
    <col min="1842" max="1842" width="14.28515625" bestFit="1" customWidth="1"/>
    <col min="1843" max="1843" width="16.42578125" bestFit="1" customWidth="1"/>
    <col min="1844" max="1844" width="19.28515625" bestFit="1" customWidth="1"/>
    <col min="1845" max="1845" width="20.5703125" bestFit="1" customWidth="1"/>
    <col min="1846" max="1846" width="14.28515625" bestFit="1" customWidth="1"/>
    <col min="1847" max="1847" width="16.42578125" bestFit="1" customWidth="1"/>
    <col min="1848" max="1848" width="19.28515625" bestFit="1" customWidth="1"/>
    <col min="1849" max="1849" width="20.5703125" bestFit="1" customWidth="1"/>
    <col min="1850" max="1850" width="14.28515625" bestFit="1" customWidth="1"/>
    <col min="1851" max="1851" width="16.42578125" bestFit="1" customWidth="1"/>
    <col min="1852" max="1852" width="19.28515625" bestFit="1" customWidth="1"/>
    <col min="1853" max="1853" width="20.5703125" bestFit="1" customWidth="1"/>
    <col min="1854" max="1854" width="14.28515625" bestFit="1" customWidth="1"/>
    <col min="1855" max="1855" width="16.42578125" bestFit="1" customWidth="1"/>
    <col min="1856" max="1856" width="19.28515625" bestFit="1" customWidth="1"/>
    <col min="1857" max="1857" width="20.5703125" bestFit="1" customWidth="1"/>
    <col min="1858" max="1858" width="14.28515625" bestFit="1" customWidth="1"/>
    <col min="1859" max="1859" width="16.42578125" bestFit="1" customWidth="1"/>
    <col min="1860" max="1860" width="19.28515625" bestFit="1" customWidth="1"/>
    <col min="1861" max="1861" width="20.5703125" bestFit="1" customWidth="1"/>
    <col min="1862" max="1862" width="14.28515625" bestFit="1" customWidth="1"/>
    <col min="1863" max="1863" width="16.42578125" bestFit="1" customWidth="1"/>
    <col min="1864" max="1864" width="19.28515625" bestFit="1" customWidth="1"/>
    <col min="1865" max="1865" width="20.5703125" bestFit="1" customWidth="1"/>
    <col min="1866" max="1866" width="14.28515625" bestFit="1" customWidth="1"/>
    <col min="1867" max="1867" width="16.42578125" bestFit="1" customWidth="1"/>
    <col min="1868" max="1868" width="19.28515625" bestFit="1" customWidth="1"/>
    <col min="1869" max="1869" width="20.5703125" bestFit="1" customWidth="1"/>
    <col min="1870" max="1870" width="14.28515625" bestFit="1" customWidth="1"/>
    <col min="1871" max="1871" width="16.42578125" bestFit="1" customWidth="1"/>
    <col min="1872" max="1872" width="19.28515625" bestFit="1" customWidth="1"/>
    <col min="1873" max="1873" width="20.5703125" bestFit="1" customWidth="1"/>
    <col min="1874" max="1874" width="14.28515625" bestFit="1" customWidth="1"/>
    <col min="1875" max="1875" width="16.42578125" bestFit="1" customWidth="1"/>
    <col min="1876" max="1876" width="19.28515625" bestFit="1" customWidth="1"/>
    <col min="1877" max="1877" width="20.5703125" bestFit="1" customWidth="1"/>
    <col min="1878" max="1878" width="14.28515625" bestFit="1" customWidth="1"/>
    <col min="1879" max="1879" width="16.42578125" bestFit="1" customWidth="1"/>
    <col min="1880" max="1880" width="19.28515625" bestFit="1" customWidth="1"/>
    <col min="1881" max="1881" width="20.5703125" bestFit="1" customWidth="1"/>
    <col min="1882" max="1882" width="14.28515625" bestFit="1" customWidth="1"/>
    <col min="1883" max="1883" width="16.42578125" bestFit="1" customWidth="1"/>
    <col min="1884" max="1884" width="19.28515625" bestFit="1" customWidth="1"/>
    <col min="1885" max="1885" width="20.5703125" bestFit="1" customWidth="1"/>
    <col min="1886" max="1886" width="14.28515625" bestFit="1" customWidth="1"/>
    <col min="1887" max="1887" width="16.42578125" bestFit="1" customWidth="1"/>
    <col min="1888" max="1888" width="19.28515625" bestFit="1" customWidth="1"/>
    <col min="1889" max="1889" width="20.5703125" bestFit="1" customWidth="1"/>
    <col min="1890" max="1890" width="14.28515625" bestFit="1" customWidth="1"/>
    <col min="1891" max="1891" width="16.42578125" bestFit="1" customWidth="1"/>
    <col min="1892" max="1892" width="19.28515625" bestFit="1" customWidth="1"/>
    <col min="1893" max="1893" width="20.5703125" bestFit="1" customWidth="1"/>
    <col min="1894" max="1894" width="14.28515625" bestFit="1" customWidth="1"/>
    <col min="1895" max="1895" width="16.42578125" bestFit="1" customWidth="1"/>
    <col min="1896" max="1896" width="19.28515625" bestFit="1" customWidth="1"/>
    <col min="1897" max="1897" width="20.5703125" bestFit="1" customWidth="1"/>
    <col min="1898" max="1898" width="14.28515625" bestFit="1" customWidth="1"/>
    <col min="1899" max="1899" width="16.42578125" bestFit="1" customWidth="1"/>
    <col min="1900" max="1900" width="19.28515625" bestFit="1" customWidth="1"/>
    <col min="1901" max="1901" width="20.5703125" bestFit="1" customWidth="1"/>
    <col min="1902" max="1902" width="14.28515625" bestFit="1" customWidth="1"/>
    <col min="1903" max="1903" width="16.42578125" bestFit="1" customWidth="1"/>
    <col min="1904" max="1904" width="19.28515625" bestFit="1" customWidth="1"/>
    <col min="1905" max="1905" width="20.5703125" bestFit="1" customWidth="1"/>
    <col min="1906" max="1906" width="14.28515625" bestFit="1" customWidth="1"/>
    <col min="1907" max="1907" width="16.42578125" bestFit="1" customWidth="1"/>
    <col min="1908" max="1908" width="19.28515625" bestFit="1" customWidth="1"/>
    <col min="1909" max="1909" width="20.5703125" bestFit="1" customWidth="1"/>
    <col min="1910" max="1910" width="14.28515625" bestFit="1" customWidth="1"/>
    <col min="1911" max="1911" width="16.42578125" bestFit="1" customWidth="1"/>
    <col min="1912" max="1912" width="19.28515625" bestFit="1" customWidth="1"/>
    <col min="1913" max="1913" width="20.5703125" bestFit="1" customWidth="1"/>
    <col min="1914" max="1914" width="14.28515625" bestFit="1" customWidth="1"/>
    <col min="1915" max="1915" width="16.42578125" bestFit="1" customWidth="1"/>
    <col min="1916" max="1916" width="19.28515625" bestFit="1" customWidth="1"/>
    <col min="1917" max="1917" width="20.5703125" bestFit="1" customWidth="1"/>
    <col min="1918" max="1918" width="14.28515625" bestFit="1" customWidth="1"/>
    <col min="1919" max="1919" width="16.42578125" bestFit="1" customWidth="1"/>
    <col min="1920" max="1920" width="19.28515625" bestFit="1" customWidth="1"/>
    <col min="1921" max="1921" width="20.5703125" bestFit="1" customWidth="1"/>
    <col min="1922" max="1922" width="14.28515625" bestFit="1" customWidth="1"/>
    <col min="1923" max="1923" width="16.42578125" bestFit="1" customWidth="1"/>
    <col min="1924" max="1924" width="19.28515625" bestFit="1" customWidth="1"/>
    <col min="1925" max="1925" width="20.5703125" bestFit="1" customWidth="1"/>
    <col min="1926" max="1926" width="14.28515625" bestFit="1" customWidth="1"/>
    <col min="1927" max="1927" width="16.42578125" bestFit="1" customWidth="1"/>
    <col min="1928" max="1928" width="19.28515625" bestFit="1" customWidth="1"/>
    <col min="1929" max="1929" width="20.5703125" bestFit="1" customWidth="1"/>
    <col min="1930" max="1930" width="14.28515625" bestFit="1" customWidth="1"/>
    <col min="1931" max="1931" width="16.42578125" bestFit="1" customWidth="1"/>
    <col min="1932" max="1932" width="19.28515625" bestFit="1" customWidth="1"/>
    <col min="1933" max="1933" width="20.5703125" bestFit="1" customWidth="1"/>
    <col min="1934" max="1934" width="14.28515625" bestFit="1" customWidth="1"/>
    <col min="1935" max="1935" width="16.42578125" bestFit="1" customWidth="1"/>
    <col min="1936" max="1936" width="19.28515625" bestFit="1" customWidth="1"/>
    <col min="1937" max="1937" width="20.5703125" bestFit="1" customWidth="1"/>
    <col min="1938" max="1938" width="14.28515625" bestFit="1" customWidth="1"/>
    <col min="1939" max="1939" width="16.42578125" bestFit="1" customWidth="1"/>
    <col min="1940" max="1940" width="19.28515625" bestFit="1" customWidth="1"/>
    <col min="1941" max="1941" width="20.5703125" bestFit="1" customWidth="1"/>
    <col min="1942" max="1942" width="14.28515625" bestFit="1" customWidth="1"/>
    <col min="1943" max="1943" width="16.42578125" bestFit="1" customWidth="1"/>
    <col min="1944" max="1944" width="19.28515625" bestFit="1" customWidth="1"/>
    <col min="1945" max="1945" width="20.5703125" bestFit="1" customWidth="1"/>
    <col min="1946" max="1946" width="14.28515625" bestFit="1" customWidth="1"/>
    <col min="1947" max="1947" width="16.42578125" bestFit="1" customWidth="1"/>
    <col min="1948" max="1948" width="19.28515625" bestFit="1" customWidth="1"/>
    <col min="1949" max="1949" width="20.5703125" bestFit="1" customWidth="1"/>
    <col min="1950" max="1950" width="14.28515625" bestFit="1" customWidth="1"/>
    <col min="1951" max="1951" width="16.42578125" bestFit="1" customWidth="1"/>
    <col min="1952" max="1952" width="19.28515625" bestFit="1" customWidth="1"/>
    <col min="1953" max="1953" width="20.5703125" bestFit="1" customWidth="1"/>
    <col min="1954" max="1954" width="14.28515625" bestFit="1" customWidth="1"/>
    <col min="1955" max="1955" width="16.42578125" bestFit="1" customWidth="1"/>
    <col min="1956" max="1956" width="19.28515625" bestFit="1" customWidth="1"/>
    <col min="1957" max="1957" width="20.5703125" bestFit="1" customWidth="1"/>
    <col min="1958" max="1958" width="14.28515625" bestFit="1" customWidth="1"/>
    <col min="1959" max="1959" width="16.42578125" bestFit="1" customWidth="1"/>
    <col min="1960" max="1960" width="19.28515625" bestFit="1" customWidth="1"/>
    <col min="1961" max="1961" width="20.5703125" bestFit="1" customWidth="1"/>
    <col min="1962" max="1962" width="14.28515625" bestFit="1" customWidth="1"/>
    <col min="1963" max="1963" width="16.42578125" bestFit="1" customWidth="1"/>
    <col min="1964" max="1964" width="19.28515625" bestFit="1" customWidth="1"/>
    <col min="1965" max="1965" width="20.5703125" bestFit="1" customWidth="1"/>
    <col min="1966" max="1966" width="14.28515625" bestFit="1" customWidth="1"/>
    <col min="1967" max="1967" width="16.42578125" bestFit="1" customWidth="1"/>
    <col min="1968" max="1968" width="19.28515625" bestFit="1" customWidth="1"/>
    <col min="1969" max="1969" width="20.5703125" bestFit="1" customWidth="1"/>
    <col min="1970" max="1970" width="14.28515625" bestFit="1" customWidth="1"/>
    <col min="1971" max="1971" width="16.42578125" bestFit="1" customWidth="1"/>
    <col min="1972" max="1972" width="19.28515625" bestFit="1" customWidth="1"/>
    <col min="1973" max="1973" width="20.5703125" bestFit="1" customWidth="1"/>
    <col min="1974" max="1974" width="14.28515625" bestFit="1" customWidth="1"/>
    <col min="1975" max="1975" width="16.42578125" bestFit="1" customWidth="1"/>
    <col min="1976" max="1976" width="19.28515625" bestFit="1" customWidth="1"/>
    <col min="1977" max="1977" width="20.5703125" bestFit="1" customWidth="1"/>
    <col min="1978" max="1978" width="14.28515625" bestFit="1" customWidth="1"/>
    <col min="1979" max="1979" width="16.42578125" bestFit="1" customWidth="1"/>
    <col min="1980" max="1980" width="19.28515625" bestFit="1" customWidth="1"/>
    <col min="1981" max="1981" width="20.5703125" bestFit="1" customWidth="1"/>
    <col min="1982" max="1982" width="14.28515625" bestFit="1" customWidth="1"/>
    <col min="1983" max="1983" width="16.42578125" bestFit="1" customWidth="1"/>
    <col min="1984" max="1984" width="19.28515625" bestFit="1" customWidth="1"/>
    <col min="1985" max="1985" width="20.5703125" bestFit="1" customWidth="1"/>
    <col min="1986" max="1986" width="14.28515625" bestFit="1" customWidth="1"/>
    <col min="1987" max="1987" width="16.42578125" bestFit="1" customWidth="1"/>
    <col min="1988" max="1988" width="19.28515625" bestFit="1" customWidth="1"/>
    <col min="1989" max="1989" width="20.5703125" bestFit="1" customWidth="1"/>
    <col min="1990" max="1990" width="14.28515625" bestFit="1" customWidth="1"/>
    <col min="1991" max="1991" width="16.42578125" bestFit="1" customWidth="1"/>
    <col min="1992" max="1992" width="19.28515625" bestFit="1" customWidth="1"/>
    <col min="1993" max="1993" width="20.5703125" bestFit="1" customWidth="1"/>
    <col min="1994" max="1994" width="14.28515625" bestFit="1" customWidth="1"/>
    <col min="1995" max="1995" width="16.42578125" bestFit="1" customWidth="1"/>
    <col min="1996" max="1996" width="19.28515625" bestFit="1" customWidth="1"/>
    <col min="1997" max="1997" width="20.5703125" bestFit="1" customWidth="1"/>
    <col min="1998" max="1998" width="14.28515625" bestFit="1" customWidth="1"/>
    <col min="1999" max="1999" width="16.42578125" bestFit="1" customWidth="1"/>
    <col min="2000" max="2000" width="19.28515625" bestFit="1" customWidth="1"/>
    <col min="2001" max="2001" width="20.5703125" bestFit="1" customWidth="1"/>
    <col min="2002" max="2002" width="14.28515625" bestFit="1" customWidth="1"/>
    <col min="2003" max="2003" width="16.42578125" bestFit="1" customWidth="1"/>
    <col min="2004" max="2004" width="19.28515625" bestFit="1" customWidth="1"/>
    <col min="2005" max="2005" width="20.5703125" bestFit="1" customWidth="1"/>
    <col min="2006" max="2006" width="14.28515625" bestFit="1" customWidth="1"/>
    <col min="2007" max="2007" width="16.42578125" bestFit="1" customWidth="1"/>
    <col min="2008" max="2008" width="19.28515625" bestFit="1" customWidth="1"/>
    <col min="2009" max="2009" width="20.5703125" bestFit="1" customWidth="1"/>
    <col min="2010" max="2010" width="14.28515625" bestFit="1" customWidth="1"/>
    <col min="2011" max="2011" width="16.42578125" bestFit="1" customWidth="1"/>
    <col min="2012" max="2012" width="19.28515625" bestFit="1" customWidth="1"/>
    <col min="2013" max="2013" width="20.5703125" bestFit="1" customWidth="1"/>
    <col min="2014" max="2014" width="14.28515625" bestFit="1" customWidth="1"/>
    <col min="2015" max="2015" width="16.42578125" bestFit="1" customWidth="1"/>
    <col min="2016" max="2016" width="19.28515625" bestFit="1" customWidth="1"/>
    <col min="2017" max="2017" width="20.5703125" bestFit="1" customWidth="1"/>
    <col min="2018" max="2018" width="14.28515625" bestFit="1" customWidth="1"/>
    <col min="2019" max="2019" width="16.42578125" bestFit="1" customWidth="1"/>
    <col min="2020" max="2020" width="19.28515625" bestFit="1" customWidth="1"/>
    <col min="2021" max="2021" width="20.5703125" bestFit="1" customWidth="1"/>
    <col min="2022" max="2022" width="14.28515625" bestFit="1" customWidth="1"/>
    <col min="2023" max="2023" width="16.42578125" bestFit="1" customWidth="1"/>
    <col min="2024" max="2024" width="19.28515625" bestFit="1" customWidth="1"/>
    <col min="2025" max="2025" width="20.5703125" bestFit="1" customWidth="1"/>
    <col min="2026" max="2026" width="14.28515625" bestFit="1" customWidth="1"/>
    <col min="2027" max="2027" width="16.42578125" bestFit="1" customWidth="1"/>
    <col min="2028" max="2028" width="19.28515625" bestFit="1" customWidth="1"/>
    <col min="2029" max="2029" width="20.5703125" bestFit="1" customWidth="1"/>
    <col min="2030" max="2030" width="14.28515625" bestFit="1" customWidth="1"/>
    <col min="2031" max="2031" width="16.42578125" bestFit="1" customWidth="1"/>
    <col min="2032" max="2032" width="19.28515625" bestFit="1" customWidth="1"/>
    <col min="2033" max="2033" width="20.5703125" bestFit="1" customWidth="1"/>
    <col min="2034" max="2034" width="14.28515625" bestFit="1" customWidth="1"/>
    <col min="2035" max="2035" width="16.42578125" bestFit="1" customWidth="1"/>
    <col min="2036" max="2036" width="19.28515625" bestFit="1" customWidth="1"/>
    <col min="2037" max="2037" width="20.5703125" bestFit="1" customWidth="1"/>
    <col min="2038" max="2038" width="14.28515625" bestFit="1" customWidth="1"/>
    <col min="2039" max="2039" width="16.42578125" bestFit="1" customWidth="1"/>
    <col min="2040" max="2040" width="19.28515625" bestFit="1" customWidth="1"/>
    <col min="2041" max="2041" width="20.5703125" bestFit="1" customWidth="1"/>
    <col min="2042" max="2042" width="14.28515625" bestFit="1" customWidth="1"/>
    <col min="2043" max="2043" width="16.42578125" bestFit="1" customWidth="1"/>
    <col min="2044" max="2044" width="19.28515625" bestFit="1" customWidth="1"/>
    <col min="2045" max="2045" width="20.5703125" bestFit="1" customWidth="1"/>
    <col min="2046" max="2046" width="14.28515625" bestFit="1" customWidth="1"/>
    <col min="2047" max="2047" width="16.42578125" bestFit="1" customWidth="1"/>
    <col min="2048" max="2048" width="19.28515625" bestFit="1" customWidth="1"/>
    <col min="2049" max="2049" width="20.5703125" bestFit="1" customWidth="1"/>
    <col min="2050" max="2050" width="14.28515625" bestFit="1" customWidth="1"/>
    <col min="2051" max="2051" width="16.42578125" bestFit="1" customWidth="1"/>
    <col min="2052" max="2052" width="19.28515625" bestFit="1" customWidth="1"/>
    <col min="2053" max="2053" width="20.5703125" bestFit="1" customWidth="1"/>
    <col min="2054" max="2054" width="14.28515625" bestFit="1" customWidth="1"/>
    <col min="2055" max="2055" width="16.42578125" bestFit="1" customWidth="1"/>
    <col min="2056" max="2056" width="19.28515625" bestFit="1" customWidth="1"/>
    <col min="2057" max="2057" width="20.5703125" bestFit="1" customWidth="1"/>
    <col min="2058" max="2058" width="14.28515625" bestFit="1" customWidth="1"/>
    <col min="2059" max="2059" width="16.42578125" bestFit="1" customWidth="1"/>
    <col min="2060" max="2060" width="19.28515625" bestFit="1" customWidth="1"/>
    <col min="2061" max="2061" width="20.5703125" bestFit="1" customWidth="1"/>
    <col min="2062" max="2062" width="14.28515625" bestFit="1" customWidth="1"/>
    <col min="2063" max="2063" width="16.42578125" bestFit="1" customWidth="1"/>
    <col min="2064" max="2064" width="19.28515625" bestFit="1" customWidth="1"/>
    <col min="2065" max="2065" width="20.5703125" bestFit="1" customWidth="1"/>
    <col min="2066" max="2066" width="14.28515625" bestFit="1" customWidth="1"/>
    <col min="2067" max="2067" width="16.42578125" bestFit="1" customWidth="1"/>
    <col min="2068" max="2068" width="19.28515625" bestFit="1" customWidth="1"/>
    <col min="2069" max="2069" width="20.5703125" bestFit="1" customWidth="1"/>
    <col min="2070" max="2070" width="14.28515625" bestFit="1" customWidth="1"/>
    <col min="2071" max="2071" width="16.42578125" bestFit="1" customWidth="1"/>
    <col min="2072" max="2072" width="19.28515625" bestFit="1" customWidth="1"/>
    <col min="2073" max="2073" width="20.5703125" bestFit="1" customWidth="1"/>
    <col min="2074" max="2074" width="14.28515625" bestFit="1" customWidth="1"/>
    <col min="2075" max="2075" width="16.42578125" bestFit="1" customWidth="1"/>
    <col min="2076" max="2076" width="19.28515625" bestFit="1" customWidth="1"/>
    <col min="2077" max="2077" width="20.5703125" bestFit="1" customWidth="1"/>
    <col min="2078" max="2078" width="14.28515625" bestFit="1" customWidth="1"/>
    <col min="2079" max="2079" width="16.42578125" bestFit="1" customWidth="1"/>
    <col min="2080" max="2080" width="19.28515625" bestFit="1" customWidth="1"/>
    <col min="2081" max="2081" width="20.5703125" bestFit="1" customWidth="1"/>
    <col min="2082" max="2082" width="14.28515625" bestFit="1" customWidth="1"/>
    <col min="2083" max="2083" width="16.42578125" bestFit="1" customWidth="1"/>
    <col min="2084" max="2084" width="19.28515625" bestFit="1" customWidth="1"/>
    <col min="2085" max="2085" width="20.5703125" bestFit="1" customWidth="1"/>
    <col min="2086" max="2086" width="14.28515625" bestFit="1" customWidth="1"/>
    <col min="2087" max="2087" width="16.42578125" bestFit="1" customWidth="1"/>
    <col min="2088" max="2088" width="19.28515625" bestFit="1" customWidth="1"/>
    <col min="2089" max="2089" width="20.5703125" bestFit="1" customWidth="1"/>
    <col min="2090" max="2090" width="14.28515625" bestFit="1" customWidth="1"/>
    <col min="2091" max="2091" width="16.42578125" bestFit="1" customWidth="1"/>
    <col min="2092" max="2092" width="19.28515625" bestFit="1" customWidth="1"/>
    <col min="2093" max="2093" width="20.5703125" bestFit="1" customWidth="1"/>
    <col min="2094" max="2094" width="14.28515625" bestFit="1" customWidth="1"/>
    <col min="2095" max="2095" width="16.42578125" bestFit="1" customWidth="1"/>
    <col min="2096" max="2096" width="19.28515625" bestFit="1" customWidth="1"/>
    <col min="2097" max="2097" width="20.5703125" bestFit="1" customWidth="1"/>
    <col min="2098" max="2098" width="14.28515625" bestFit="1" customWidth="1"/>
    <col min="2099" max="2099" width="16.42578125" bestFit="1" customWidth="1"/>
    <col min="2100" max="2100" width="19.28515625" bestFit="1" customWidth="1"/>
    <col min="2101" max="2101" width="20.5703125" bestFit="1" customWidth="1"/>
    <col min="2102" max="2102" width="14.28515625" bestFit="1" customWidth="1"/>
    <col min="2103" max="2103" width="16.42578125" bestFit="1" customWidth="1"/>
    <col min="2104" max="2104" width="19.28515625" bestFit="1" customWidth="1"/>
    <col min="2105" max="2105" width="20.5703125" bestFit="1" customWidth="1"/>
    <col min="2106" max="2106" width="14.28515625" bestFit="1" customWidth="1"/>
    <col min="2107" max="2107" width="16.42578125" bestFit="1" customWidth="1"/>
    <col min="2108" max="2108" width="19.28515625" bestFit="1" customWidth="1"/>
    <col min="2109" max="2109" width="20.5703125" bestFit="1" customWidth="1"/>
    <col min="2110" max="2110" width="14.28515625" bestFit="1" customWidth="1"/>
    <col min="2111" max="2111" width="16.42578125" bestFit="1" customWidth="1"/>
    <col min="2112" max="2112" width="19.28515625" bestFit="1" customWidth="1"/>
    <col min="2113" max="2113" width="20.5703125" bestFit="1" customWidth="1"/>
    <col min="2114" max="2114" width="14.28515625" bestFit="1" customWidth="1"/>
    <col min="2115" max="2115" width="16.42578125" bestFit="1" customWidth="1"/>
    <col min="2116" max="2116" width="19.28515625" bestFit="1" customWidth="1"/>
    <col min="2117" max="2117" width="20.5703125" bestFit="1" customWidth="1"/>
    <col min="2118" max="2118" width="14.28515625" bestFit="1" customWidth="1"/>
    <col min="2119" max="2119" width="16.42578125" bestFit="1" customWidth="1"/>
    <col min="2120" max="2120" width="19.28515625" bestFit="1" customWidth="1"/>
    <col min="2121" max="2121" width="20.5703125" bestFit="1" customWidth="1"/>
    <col min="2122" max="2122" width="14.28515625" bestFit="1" customWidth="1"/>
    <col min="2123" max="2123" width="16.42578125" bestFit="1" customWidth="1"/>
    <col min="2124" max="2124" width="19.28515625" bestFit="1" customWidth="1"/>
    <col min="2125" max="2125" width="20.5703125" bestFit="1" customWidth="1"/>
    <col min="2126" max="2126" width="14.28515625" bestFit="1" customWidth="1"/>
    <col min="2127" max="2127" width="16.42578125" bestFit="1" customWidth="1"/>
    <col min="2128" max="2128" width="19.28515625" bestFit="1" customWidth="1"/>
    <col min="2129" max="2129" width="20.5703125" bestFit="1" customWidth="1"/>
    <col min="2130" max="2130" width="14.28515625" bestFit="1" customWidth="1"/>
    <col min="2131" max="2131" width="16.42578125" bestFit="1" customWidth="1"/>
    <col min="2132" max="2132" width="19.28515625" bestFit="1" customWidth="1"/>
    <col min="2133" max="2133" width="20.5703125" bestFit="1" customWidth="1"/>
    <col min="2134" max="2134" width="14.28515625" bestFit="1" customWidth="1"/>
    <col min="2135" max="2135" width="16.42578125" bestFit="1" customWidth="1"/>
    <col min="2136" max="2136" width="19.28515625" bestFit="1" customWidth="1"/>
    <col min="2137" max="2137" width="20.5703125" bestFit="1" customWidth="1"/>
    <col min="2138" max="2138" width="14.28515625" bestFit="1" customWidth="1"/>
    <col min="2139" max="2139" width="16.42578125" bestFit="1" customWidth="1"/>
    <col min="2140" max="2140" width="19.28515625" bestFit="1" customWidth="1"/>
    <col min="2141" max="2141" width="20.5703125" bestFit="1" customWidth="1"/>
    <col min="2142" max="2142" width="14.28515625" bestFit="1" customWidth="1"/>
    <col min="2143" max="2143" width="16.42578125" bestFit="1" customWidth="1"/>
    <col min="2144" max="2144" width="19.28515625" bestFit="1" customWidth="1"/>
    <col min="2145" max="2145" width="20.5703125" bestFit="1" customWidth="1"/>
    <col min="2146" max="2146" width="14.28515625" bestFit="1" customWidth="1"/>
    <col min="2147" max="2147" width="16.42578125" bestFit="1" customWidth="1"/>
    <col min="2148" max="2148" width="19.28515625" bestFit="1" customWidth="1"/>
    <col min="2149" max="2149" width="20.5703125" bestFit="1" customWidth="1"/>
    <col min="2150" max="2150" width="14.28515625" bestFit="1" customWidth="1"/>
    <col min="2151" max="2151" width="16.42578125" bestFit="1" customWidth="1"/>
    <col min="2152" max="2152" width="19.28515625" bestFit="1" customWidth="1"/>
    <col min="2153" max="2153" width="20.5703125" bestFit="1" customWidth="1"/>
    <col min="2154" max="2154" width="14.28515625" bestFit="1" customWidth="1"/>
    <col min="2155" max="2155" width="16.42578125" bestFit="1" customWidth="1"/>
    <col min="2156" max="2156" width="19.28515625" bestFit="1" customWidth="1"/>
    <col min="2157" max="2157" width="20.5703125" bestFit="1" customWidth="1"/>
    <col min="2158" max="2158" width="14.28515625" bestFit="1" customWidth="1"/>
    <col min="2159" max="2159" width="16.42578125" bestFit="1" customWidth="1"/>
    <col min="2160" max="2160" width="19.28515625" bestFit="1" customWidth="1"/>
    <col min="2161" max="2161" width="20.5703125" bestFit="1" customWidth="1"/>
    <col min="2162" max="2162" width="14.28515625" bestFit="1" customWidth="1"/>
    <col min="2163" max="2163" width="16.42578125" bestFit="1" customWidth="1"/>
    <col min="2164" max="2164" width="19.28515625" bestFit="1" customWidth="1"/>
    <col min="2165" max="2165" width="20.5703125" bestFit="1" customWidth="1"/>
    <col min="2166" max="2166" width="14.28515625" bestFit="1" customWidth="1"/>
    <col min="2167" max="2167" width="16.42578125" bestFit="1" customWidth="1"/>
    <col min="2168" max="2168" width="19.28515625" bestFit="1" customWidth="1"/>
    <col min="2169" max="2169" width="20.5703125" bestFit="1" customWidth="1"/>
    <col min="2170" max="2170" width="14.28515625" bestFit="1" customWidth="1"/>
    <col min="2171" max="2171" width="16.42578125" bestFit="1" customWidth="1"/>
    <col min="2172" max="2172" width="19.28515625" bestFit="1" customWidth="1"/>
    <col min="2173" max="2173" width="20.5703125" bestFit="1" customWidth="1"/>
    <col min="2174" max="2174" width="14.28515625" bestFit="1" customWidth="1"/>
    <col min="2175" max="2175" width="16.42578125" bestFit="1" customWidth="1"/>
    <col min="2176" max="2176" width="19.28515625" bestFit="1" customWidth="1"/>
    <col min="2177" max="2177" width="20.5703125" bestFit="1" customWidth="1"/>
    <col min="2178" max="2178" width="14.28515625" bestFit="1" customWidth="1"/>
    <col min="2179" max="2179" width="16.42578125" bestFit="1" customWidth="1"/>
    <col min="2180" max="2180" width="19.28515625" bestFit="1" customWidth="1"/>
    <col min="2181" max="2181" width="20.5703125" bestFit="1" customWidth="1"/>
    <col min="2182" max="2182" width="14.28515625" bestFit="1" customWidth="1"/>
    <col min="2183" max="2183" width="16.42578125" bestFit="1" customWidth="1"/>
    <col min="2184" max="2184" width="19.28515625" bestFit="1" customWidth="1"/>
    <col min="2185" max="2185" width="20.5703125" bestFit="1" customWidth="1"/>
    <col min="2186" max="2186" width="14.28515625" bestFit="1" customWidth="1"/>
    <col min="2187" max="2187" width="16.42578125" bestFit="1" customWidth="1"/>
    <col min="2188" max="2188" width="19.28515625" bestFit="1" customWidth="1"/>
    <col min="2189" max="2189" width="20.5703125" bestFit="1" customWidth="1"/>
    <col min="2190" max="2190" width="14.28515625" bestFit="1" customWidth="1"/>
    <col min="2191" max="2191" width="16.42578125" bestFit="1" customWidth="1"/>
    <col min="2192" max="2192" width="19.28515625" bestFit="1" customWidth="1"/>
    <col min="2193" max="2193" width="20.5703125" bestFit="1" customWidth="1"/>
    <col min="2194" max="2194" width="14.28515625" bestFit="1" customWidth="1"/>
    <col min="2195" max="2195" width="16.42578125" bestFit="1" customWidth="1"/>
    <col min="2196" max="2196" width="19.28515625" bestFit="1" customWidth="1"/>
    <col min="2197" max="2197" width="20.5703125" bestFit="1" customWidth="1"/>
    <col min="2198" max="2198" width="14.28515625" bestFit="1" customWidth="1"/>
    <col min="2199" max="2199" width="16.42578125" bestFit="1" customWidth="1"/>
    <col min="2200" max="2200" width="19.28515625" bestFit="1" customWidth="1"/>
    <col min="2201" max="2201" width="20.5703125" bestFit="1" customWidth="1"/>
    <col min="2202" max="2202" width="14.28515625" bestFit="1" customWidth="1"/>
    <col min="2203" max="2203" width="16.42578125" bestFit="1" customWidth="1"/>
    <col min="2204" max="2204" width="19.28515625" bestFit="1" customWidth="1"/>
    <col min="2205" max="2205" width="20.5703125" bestFit="1" customWidth="1"/>
    <col min="2206" max="2206" width="14.28515625" bestFit="1" customWidth="1"/>
    <col min="2207" max="2207" width="16.42578125" bestFit="1" customWidth="1"/>
    <col min="2208" max="2208" width="19.28515625" bestFit="1" customWidth="1"/>
    <col min="2209" max="2209" width="20.5703125" bestFit="1" customWidth="1"/>
    <col min="2210" max="2210" width="14.28515625" bestFit="1" customWidth="1"/>
    <col min="2211" max="2211" width="16.42578125" bestFit="1" customWidth="1"/>
    <col min="2212" max="2212" width="19.28515625" bestFit="1" customWidth="1"/>
    <col min="2213" max="2213" width="20.5703125" bestFit="1" customWidth="1"/>
    <col min="2214" max="2214" width="14.28515625" bestFit="1" customWidth="1"/>
    <col min="2215" max="2215" width="16.42578125" bestFit="1" customWidth="1"/>
    <col min="2216" max="2216" width="19.28515625" bestFit="1" customWidth="1"/>
    <col min="2217" max="2217" width="20.5703125" bestFit="1" customWidth="1"/>
    <col min="2218" max="2218" width="14.28515625" bestFit="1" customWidth="1"/>
    <col min="2219" max="2219" width="16.42578125" bestFit="1" customWidth="1"/>
    <col min="2220" max="2220" width="19.28515625" bestFit="1" customWidth="1"/>
    <col min="2221" max="2221" width="20.5703125" bestFit="1" customWidth="1"/>
    <col min="2222" max="2222" width="14.28515625" bestFit="1" customWidth="1"/>
    <col min="2223" max="2223" width="16.42578125" bestFit="1" customWidth="1"/>
    <col min="2224" max="2224" width="19.28515625" bestFit="1" customWidth="1"/>
    <col min="2225" max="2225" width="20.5703125" bestFit="1" customWidth="1"/>
    <col min="2226" max="2226" width="14.28515625" bestFit="1" customWidth="1"/>
    <col min="2227" max="2227" width="16.42578125" bestFit="1" customWidth="1"/>
    <col min="2228" max="2228" width="19.28515625" bestFit="1" customWidth="1"/>
    <col min="2229" max="2229" width="20.5703125" bestFit="1" customWidth="1"/>
    <col min="2230" max="2230" width="14.28515625" bestFit="1" customWidth="1"/>
    <col min="2231" max="2231" width="16.42578125" bestFit="1" customWidth="1"/>
    <col min="2232" max="2232" width="19.28515625" bestFit="1" customWidth="1"/>
    <col min="2233" max="2233" width="20.5703125" bestFit="1" customWidth="1"/>
    <col min="2234" max="2234" width="14.28515625" bestFit="1" customWidth="1"/>
    <col min="2235" max="2235" width="16.42578125" bestFit="1" customWidth="1"/>
    <col min="2236" max="2236" width="19.28515625" bestFit="1" customWidth="1"/>
    <col min="2237" max="2237" width="20.5703125" bestFit="1" customWidth="1"/>
    <col min="2238" max="2238" width="14.28515625" bestFit="1" customWidth="1"/>
    <col min="2239" max="2239" width="16.42578125" bestFit="1" customWidth="1"/>
    <col min="2240" max="2240" width="19.28515625" bestFit="1" customWidth="1"/>
    <col min="2241" max="2241" width="20.5703125" bestFit="1" customWidth="1"/>
    <col min="2242" max="2242" width="14.28515625" bestFit="1" customWidth="1"/>
    <col min="2243" max="2243" width="16.42578125" bestFit="1" customWidth="1"/>
    <col min="2244" max="2244" width="19.28515625" bestFit="1" customWidth="1"/>
    <col min="2245" max="2245" width="20.5703125" bestFit="1" customWidth="1"/>
    <col min="2246" max="2246" width="14.28515625" bestFit="1" customWidth="1"/>
    <col min="2247" max="2247" width="16.42578125" bestFit="1" customWidth="1"/>
    <col min="2248" max="2248" width="19.28515625" bestFit="1" customWidth="1"/>
    <col min="2249" max="2249" width="20.5703125" bestFit="1" customWidth="1"/>
    <col min="2250" max="2250" width="14.28515625" bestFit="1" customWidth="1"/>
    <col min="2251" max="2251" width="16.42578125" bestFit="1" customWidth="1"/>
    <col min="2252" max="2252" width="19.28515625" bestFit="1" customWidth="1"/>
    <col min="2253" max="2253" width="20.5703125" bestFit="1" customWidth="1"/>
    <col min="2254" max="2254" width="14.28515625" bestFit="1" customWidth="1"/>
    <col min="2255" max="2255" width="16.42578125" bestFit="1" customWidth="1"/>
    <col min="2256" max="2256" width="19.28515625" bestFit="1" customWidth="1"/>
    <col min="2257" max="2257" width="20.5703125" bestFit="1" customWidth="1"/>
    <col min="2258" max="2258" width="14.28515625" bestFit="1" customWidth="1"/>
    <col min="2259" max="2259" width="16.42578125" bestFit="1" customWidth="1"/>
    <col min="2260" max="2260" width="19.28515625" bestFit="1" customWidth="1"/>
    <col min="2261" max="2261" width="20.5703125" bestFit="1" customWidth="1"/>
    <col min="2262" max="2262" width="14.28515625" bestFit="1" customWidth="1"/>
    <col min="2263" max="2263" width="16.42578125" bestFit="1" customWidth="1"/>
    <col min="2264" max="2264" width="19.28515625" bestFit="1" customWidth="1"/>
    <col min="2265" max="2265" width="20.5703125" bestFit="1" customWidth="1"/>
    <col min="2266" max="2266" width="14.28515625" bestFit="1" customWidth="1"/>
    <col min="2267" max="2267" width="16.42578125" bestFit="1" customWidth="1"/>
    <col min="2268" max="2268" width="19.28515625" bestFit="1" customWidth="1"/>
    <col min="2269" max="2269" width="20.5703125" bestFit="1" customWidth="1"/>
    <col min="2270" max="2270" width="14.28515625" bestFit="1" customWidth="1"/>
    <col min="2271" max="2271" width="16.42578125" bestFit="1" customWidth="1"/>
    <col min="2272" max="2272" width="19.28515625" bestFit="1" customWidth="1"/>
    <col min="2273" max="2273" width="20.5703125" bestFit="1" customWidth="1"/>
    <col min="2274" max="2274" width="14.28515625" bestFit="1" customWidth="1"/>
    <col min="2275" max="2275" width="16.42578125" bestFit="1" customWidth="1"/>
    <col min="2276" max="2276" width="19.28515625" bestFit="1" customWidth="1"/>
    <col min="2277" max="2277" width="20.5703125" bestFit="1" customWidth="1"/>
    <col min="2278" max="2278" width="14.28515625" bestFit="1" customWidth="1"/>
    <col min="2279" max="2279" width="16.42578125" bestFit="1" customWidth="1"/>
    <col min="2280" max="2280" width="19.28515625" bestFit="1" customWidth="1"/>
    <col min="2281" max="2281" width="20.5703125" bestFit="1" customWidth="1"/>
    <col min="2282" max="2282" width="14.28515625" bestFit="1" customWidth="1"/>
    <col min="2283" max="2283" width="16.42578125" bestFit="1" customWidth="1"/>
    <col min="2284" max="2284" width="19.28515625" bestFit="1" customWidth="1"/>
    <col min="2285" max="2285" width="20.5703125" bestFit="1" customWidth="1"/>
    <col min="2286" max="2286" width="14.28515625" bestFit="1" customWidth="1"/>
    <col min="2287" max="2287" width="16.42578125" bestFit="1" customWidth="1"/>
    <col min="2288" max="2288" width="19.28515625" bestFit="1" customWidth="1"/>
    <col min="2289" max="2289" width="20.5703125" bestFit="1" customWidth="1"/>
    <col min="2290" max="2290" width="14.28515625" bestFit="1" customWidth="1"/>
    <col min="2291" max="2291" width="16.42578125" bestFit="1" customWidth="1"/>
    <col min="2292" max="2292" width="19.28515625" bestFit="1" customWidth="1"/>
    <col min="2293" max="2293" width="20.5703125" bestFit="1" customWidth="1"/>
    <col min="2294" max="2294" width="14.28515625" bestFit="1" customWidth="1"/>
    <col min="2295" max="2295" width="16.42578125" bestFit="1" customWidth="1"/>
    <col min="2296" max="2296" width="19.28515625" bestFit="1" customWidth="1"/>
    <col min="2297" max="2297" width="20.5703125" bestFit="1" customWidth="1"/>
    <col min="2298" max="2298" width="14.28515625" bestFit="1" customWidth="1"/>
    <col min="2299" max="2299" width="16.42578125" bestFit="1" customWidth="1"/>
    <col min="2300" max="2300" width="19.28515625" bestFit="1" customWidth="1"/>
    <col min="2301" max="2301" width="20.5703125" bestFit="1" customWidth="1"/>
    <col min="2302" max="2302" width="14.28515625" bestFit="1" customWidth="1"/>
    <col min="2303" max="2303" width="16.42578125" bestFit="1" customWidth="1"/>
    <col min="2304" max="2304" width="19.28515625" bestFit="1" customWidth="1"/>
    <col min="2305" max="2305" width="20.5703125" bestFit="1" customWidth="1"/>
    <col min="2306" max="2306" width="14.28515625" bestFit="1" customWidth="1"/>
    <col min="2307" max="2307" width="16.42578125" bestFit="1" customWidth="1"/>
    <col min="2308" max="2308" width="19.28515625" bestFit="1" customWidth="1"/>
    <col min="2309" max="2309" width="20.5703125" bestFit="1" customWidth="1"/>
    <col min="2310" max="2310" width="14.28515625" bestFit="1" customWidth="1"/>
    <col min="2311" max="2311" width="16.42578125" bestFit="1" customWidth="1"/>
    <col min="2312" max="2312" width="19.28515625" bestFit="1" customWidth="1"/>
    <col min="2313" max="2313" width="20.5703125" bestFit="1" customWidth="1"/>
    <col min="2314" max="2314" width="14.28515625" bestFit="1" customWidth="1"/>
    <col min="2315" max="2315" width="16.42578125" bestFit="1" customWidth="1"/>
    <col min="2316" max="2316" width="19.28515625" bestFit="1" customWidth="1"/>
    <col min="2317" max="2317" width="20.5703125" bestFit="1" customWidth="1"/>
    <col min="2318" max="2318" width="14.28515625" bestFit="1" customWidth="1"/>
    <col min="2319" max="2319" width="16.42578125" bestFit="1" customWidth="1"/>
    <col min="2320" max="2320" width="19.28515625" bestFit="1" customWidth="1"/>
    <col min="2321" max="2321" width="20.5703125" bestFit="1" customWidth="1"/>
    <col min="2322" max="2322" width="14.28515625" bestFit="1" customWidth="1"/>
    <col min="2323" max="2323" width="16.42578125" bestFit="1" customWidth="1"/>
    <col min="2324" max="2324" width="19.28515625" bestFit="1" customWidth="1"/>
    <col min="2325" max="2325" width="20.5703125" bestFit="1" customWidth="1"/>
    <col min="2326" max="2326" width="14.28515625" bestFit="1" customWidth="1"/>
    <col min="2327" max="2327" width="16.42578125" bestFit="1" customWidth="1"/>
    <col min="2328" max="2328" width="19.28515625" bestFit="1" customWidth="1"/>
    <col min="2329" max="2329" width="20.5703125" bestFit="1" customWidth="1"/>
    <col min="2330" max="2330" width="14.28515625" bestFit="1" customWidth="1"/>
    <col min="2331" max="2331" width="16.42578125" bestFit="1" customWidth="1"/>
    <col min="2332" max="2332" width="19.28515625" bestFit="1" customWidth="1"/>
    <col min="2333" max="2333" width="20.5703125" bestFit="1" customWidth="1"/>
    <col min="2334" max="2334" width="14.28515625" bestFit="1" customWidth="1"/>
    <col min="2335" max="2335" width="16.42578125" bestFit="1" customWidth="1"/>
    <col min="2336" max="2336" width="19.28515625" bestFit="1" customWidth="1"/>
    <col min="2337" max="2337" width="20.5703125" bestFit="1" customWidth="1"/>
    <col min="2338" max="2338" width="14.28515625" bestFit="1" customWidth="1"/>
    <col min="2339" max="2339" width="16.42578125" bestFit="1" customWidth="1"/>
    <col min="2340" max="2340" width="19.28515625" bestFit="1" customWidth="1"/>
    <col min="2341" max="2341" width="20.5703125" bestFit="1" customWidth="1"/>
    <col min="2342" max="2342" width="14.28515625" bestFit="1" customWidth="1"/>
    <col min="2343" max="2343" width="16.42578125" bestFit="1" customWidth="1"/>
    <col min="2344" max="2344" width="19.28515625" bestFit="1" customWidth="1"/>
    <col min="2345" max="2345" width="20.5703125" bestFit="1" customWidth="1"/>
    <col min="2346" max="2346" width="14.28515625" bestFit="1" customWidth="1"/>
    <col min="2347" max="2347" width="16.42578125" bestFit="1" customWidth="1"/>
    <col min="2348" max="2348" width="19.28515625" bestFit="1" customWidth="1"/>
    <col min="2349" max="2349" width="20.5703125" bestFit="1" customWidth="1"/>
    <col min="2350" max="2350" width="14.28515625" bestFit="1" customWidth="1"/>
    <col min="2351" max="2351" width="16.42578125" bestFit="1" customWidth="1"/>
    <col min="2352" max="2352" width="19.28515625" bestFit="1" customWidth="1"/>
    <col min="2353" max="2353" width="20.5703125" bestFit="1" customWidth="1"/>
    <col min="2354" max="2354" width="14.28515625" bestFit="1" customWidth="1"/>
    <col min="2355" max="2355" width="16.42578125" bestFit="1" customWidth="1"/>
    <col min="2356" max="2356" width="19.28515625" bestFit="1" customWidth="1"/>
    <col min="2357" max="2357" width="20.5703125" bestFit="1" customWidth="1"/>
    <col min="2358" max="2358" width="14.28515625" bestFit="1" customWidth="1"/>
    <col min="2359" max="2359" width="16.42578125" bestFit="1" customWidth="1"/>
    <col min="2360" max="2360" width="19.28515625" bestFit="1" customWidth="1"/>
    <col min="2361" max="2361" width="20.5703125" bestFit="1" customWidth="1"/>
    <col min="2362" max="2362" width="14.28515625" bestFit="1" customWidth="1"/>
    <col min="2363" max="2363" width="16.42578125" bestFit="1" customWidth="1"/>
    <col min="2364" max="2364" width="19.28515625" bestFit="1" customWidth="1"/>
    <col min="2365" max="2365" width="20.5703125" bestFit="1" customWidth="1"/>
    <col min="2366" max="2366" width="14.28515625" bestFit="1" customWidth="1"/>
    <col min="2367" max="2367" width="16.42578125" bestFit="1" customWidth="1"/>
    <col min="2368" max="2368" width="19.28515625" bestFit="1" customWidth="1"/>
    <col min="2369" max="2369" width="20.5703125" bestFit="1" customWidth="1"/>
    <col min="2370" max="2370" width="14.28515625" bestFit="1" customWidth="1"/>
    <col min="2371" max="2371" width="16.42578125" bestFit="1" customWidth="1"/>
    <col min="2372" max="2372" width="19.28515625" bestFit="1" customWidth="1"/>
    <col min="2373" max="2373" width="20.5703125" bestFit="1" customWidth="1"/>
    <col min="2374" max="2374" width="14.28515625" bestFit="1" customWidth="1"/>
    <col min="2375" max="2375" width="16.42578125" bestFit="1" customWidth="1"/>
    <col min="2376" max="2376" width="19.28515625" bestFit="1" customWidth="1"/>
    <col min="2377" max="2377" width="20.5703125" bestFit="1" customWidth="1"/>
    <col min="2378" max="2378" width="14.28515625" bestFit="1" customWidth="1"/>
    <col min="2379" max="2379" width="16.42578125" bestFit="1" customWidth="1"/>
    <col min="2380" max="2380" width="19.28515625" bestFit="1" customWidth="1"/>
    <col min="2381" max="2381" width="20.5703125" bestFit="1" customWidth="1"/>
    <col min="2382" max="2382" width="14.28515625" bestFit="1" customWidth="1"/>
    <col min="2383" max="2383" width="16.42578125" bestFit="1" customWidth="1"/>
    <col min="2384" max="2384" width="19.28515625" bestFit="1" customWidth="1"/>
    <col min="2385" max="2385" width="20.5703125" bestFit="1" customWidth="1"/>
    <col min="2386" max="2386" width="14.28515625" bestFit="1" customWidth="1"/>
    <col min="2387" max="2387" width="16.42578125" bestFit="1" customWidth="1"/>
    <col min="2388" max="2388" width="19.28515625" bestFit="1" customWidth="1"/>
    <col min="2389" max="2389" width="20.5703125" bestFit="1" customWidth="1"/>
    <col min="2390" max="2390" width="14.28515625" bestFit="1" customWidth="1"/>
    <col min="2391" max="2391" width="16.42578125" bestFit="1" customWidth="1"/>
    <col min="2392" max="2392" width="19.28515625" bestFit="1" customWidth="1"/>
    <col min="2393" max="2393" width="20.5703125" bestFit="1" customWidth="1"/>
    <col min="2394" max="2394" width="14.28515625" bestFit="1" customWidth="1"/>
    <col min="2395" max="2395" width="16.42578125" bestFit="1" customWidth="1"/>
    <col min="2396" max="2396" width="19.28515625" bestFit="1" customWidth="1"/>
    <col min="2397" max="2397" width="20.5703125" bestFit="1" customWidth="1"/>
    <col min="2398" max="2398" width="14.28515625" bestFit="1" customWidth="1"/>
    <col min="2399" max="2399" width="16.42578125" bestFit="1" customWidth="1"/>
    <col min="2400" max="2400" width="19.28515625" bestFit="1" customWidth="1"/>
    <col min="2401" max="2401" width="20.5703125" bestFit="1" customWidth="1"/>
    <col min="2402" max="2402" width="14.28515625" bestFit="1" customWidth="1"/>
    <col min="2403" max="2403" width="16.42578125" bestFit="1" customWidth="1"/>
    <col min="2404" max="2404" width="19.28515625" bestFit="1" customWidth="1"/>
    <col min="2405" max="2405" width="20.5703125" bestFit="1" customWidth="1"/>
    <col min="2406" max="2406" width="14.28515625" bestFit="1" customWidth="1"/>
    <col min="2407" max="2407" width="16.42578125" bestFit="1" customWidth="1"/>
    <col min="2408" max="2408" width="19.28515625" bestFit="1" customWidth="1"/>
    <col min="2409" max="2409" width="20.5703125" bestFit="1" customWidth="1"/>
    <col min="2410" max="2410" width="14.28515625" bestFit="1" customWidth="1"/>
    <col min="2411" max="2411" width="16.42578125" bestFit="1" customWidth="1"/>
    <col min="2412" max="2412" width="19.28515625" bestFit="1" customWidth="1"/>
    <col min="2413" max="2413" width="20.5703125" bestFit="1" customWidth="1"/>
    <col min="2414" max="2414" width="14.28515625" bestFit="1" customWidth="1"/>
    <col min="2415" max="2415" width="16.42578125" bestFit="1" customWidth="1"/>
    <col min="2416" max="2416" width="19.28515625" bestFit="1" customWidth="1"/>
    <col min="2417" max="2417" width="20.5703125" bestFit="1" customWidth="1"/>
    <col min="2418" max="2418" width="14.28515625" bestFit="1" customWidth="1"/>
    <col min="2419" max="2419" width="16.42578125" bestFit="1" customWidth="1"/>
    <col min="2420" max="2420" width="19.28515625" bestFit="1" customWidth="1"/>
    <col min="2421" max="2421" width="20.5703125" bestFit="1" customWidth="1"/>
    <col min="2422" max="2422" width="14.28515625" bestFit="1" customWidth="1"/>
    <col min="2423" max="2423" width="16.42578125" bestFit="1" customWidth="1"/>
    <col min="2424" max="2424" width="19.28515625" bestFit="1" customWidth="1"/>
    <col min="2425" max="2425" width="20.5703125" bestFit="1" customWidth="1"/>
    <col min="2426" max="2426" width="14.28515625" bestFit="1" customWidth="1"/>
    <col min="2427" max="2427" width="16.42578125" bestFit="1" customWidth="1"/>
    <col min="2428" max="2428" width="19.28515625" bestFit="1" customWidth="1"/>
    <col min="2429" max="2429" width="20.5703125" bestFit="1" customWidth="1"/>
    <col min="2430" max="2430" width="14.28515625" bestFit="1" customWidth="1"/>
    <col min="2431" max="2431" width="16.42578125" bestFit="1" customWidth="1"/>
    <col min="2432" max="2432" width="19.28515625" bestFit="1" customWidth="1"/>
    <col min="2433" max="2433" width="20.5703125" bestFit="1" customWidth="1"/>
    <col min="2434" max="2434" width="14.28515625" bestFit="1" customWidth="1"/>
    <col min="2435" max="2435" width="16.42578125" bestFit="1" customWidth="1"/>
    <col min="2436" max="2436" width="19.28515625" bestFit="1" customWidth="1"/>
    <col min="2437" max="2437" width="20.5703125" bestFit="1" customWidth="1"/>
    <col min="2438" max="2438" width="14.28515625" bestFit="1" customWidth="1"/>
    <col min="2439" max="2439" width="16.42578125" bestFit="1" customWidth="1"/>
    <col min="2440" max="2440" width="19.28515625" bestFit="1" customWidth="1"/>
    <col min="2441" max="2441" width="20.5703125" bestFit="1" customWidth="1"/>
    <col min="2442" max="2442" width="14.28515625" bestFit="1" customWidth="1"/>
    <col min="2443" max="2443" width="16.42578125" bestFit="1" customWidth="1"/>
    <col min="2444" max="2444" width="19.28515625" bestFit="1" customWidth="1"/>
    <col min="2445" max="2445" width="20.5703125" bestFit="1" customWidth="1"/>
    <col min="2446" max="2446" width="14.28515625" bestFit="1" customWidth="1"/>
    <col min="2447" max="2447" width="16.42578125" bestFit="1" customWidth="1"/>
    <col min="2448" max="2448" width="19.28515625" bestFit="1" customWidth="1"/>
    <col min="2449" max="2449" width="20.5703125" bestFit="1" customWidth="1"/>
    <col min="2450" max="2450" width="14.28515625" bestFit="1" customWidth="1"/>
    <col min="2451" max="2451" width="16.42578125" bestFit="1" customWidth="1"/>
    <col min="2452" max="2452" width="19.28515625" bestFit="1" customWidth="1"/>
    <col min="2453" max="2453" width="20.5703125" bestFit="1" customWidth="1"/>
    <col min="2454" max="2454" width="14.28515625" bestFit="1" customWidth="1"/>
    <col min="2455" max="2455" width="16.42578125" bestFit="1" customWidth="1"/>
    <col min="2456" max="2456" width="19.28515625" bestFit="1" customWidth="1"/>
    <col min="2457" max="2457" width="20.5703125" bestFit="1" customWidth="1"/>
    <col min="2458" max="2458" width="14.28515625" bestFit="1" customWidth="1"/>
    <col min="2459" max="2459" width="16.42578125" bestFit="1" customWidth="1"/>
    <col min="2460" max="2460" width="19.28515625" bestFit="1" customWidth="1"/>
    <col min="2461" max="2461" width="20.5703125" bestFit="1" customWidth="1"/>
    <col min="2462" max="2462" width="14.28515625" bestFit="1" customWidth="1"/>
    <col min="2463" max="2463" width="16.42578125" bestFit="1" customWidth="1"/>
    <col min="2464" max="2464" width="19.28515625" bestFit="1" customWidth="1"/>
    <col min="2465" max="2465" width="20.5703125" bestFit="1" customWidth="1"/>
    <col min="2466" max="2466" width="14.28515625" bestFit="1" customWidth="1"/>
    <col min="2467" max="2467" width="16.42578125" bestFit="1" customWidth="1"/>
    <col min="2468" max="2468" width="19.28515625" bestFit="1" customWidth="1"/>
    <col min="2469" max="2469" width="20.5703125" bestFit="1" customWidth="1"/>
    <col min="2470" max="2470" width="14.28515625" bestFit="1" customWidth="1"/>
    <col min="2471" max="2471" width="16.42578125" bestFit="1" customWidth="1"/>
    <col min="2472" max="2472" width="19.28515625" bestFit="1" customWidth="1"/>
    <col min="2473" max="2473" width="20.5703125" bestFit="1" customWidth="1"/>
    <col min="2474" max="2474" width="14.28515625" bestFit="1" customWidth="1"/>
    <col min="2475" max="2475" width="16.42578125" bestFit="1" customWidth="1"/>
    <col min="2476" max="2476" width="19.28515625" bestFit="1" customWidth="1"/>
    <col min="2477" max="2477" width="20.5703125" bestFit="1" customWidth="1"/>
    <col min="2478" max="2478" width="14.28515625" bestFit="1" customWidth="1"/>
    <col min="2479" max="2479" width="16.42578125" bestFit="1" customWidth="1"/>
    <col min="2480" max="2480" width="19.28515625" bestFit="1" customWidth="1"/>
    <col min="2481" max="2481" width="20.5703125" bestFit="1" customWidth="1"/>
    <col min="2482" max="2482" width="14.28515625" bestFit="1" customWidth="1"/>
    <col min="2483" max="2483" width="16.42578125" bestFit="1" customWidth="1"/>
    <col min="2484" max="2484" width="19.28515625" bestFit="1" customWidth="1"/>
    <col min="2485" max="2485" width="20.5703125" bestFit="1" customWidth="1"/>
    <col min="2486" max="2486" width="14.28515625" bestFit="1" customWidth="1"/>
    <col min="2487" max="2487" width="16.42578125" bestFit="1" customWidth="1"/>
    <col min="2488" max="2488" width="19.28515625" bestFit="1" customWidth="1"/>
    <col min="2489" max="2489" width="20.5703125" bestFit="1" customWidth="1"/>
    <col min="2490" max="2490" width="14.28515625" bestFit="1" customWidth="1"/>
    <col min="2491" max="2491" width="16.42578125" bestFit="1" customWidth="1"/>
    <col min="2492" max="2492" width="19.28515625" bestFit="1" customWidth="1"/>
    <col min="2493" max="2493" width="20.5703125" bestFit="1" customWidth="1"/>
    <col min="2494" max="2494" width="14.28515625" bestFit="1" customWidth="1"/>
    <col min="2495" max="2495" width="16.42578125" bestFit="1" customWidth="1"/>
    <col min="2496" max="2496" width="19.28515625" bestFit="1" customWidth="1"/>
    <col min="2497" max="2497" width="20.5703125" bestFit="1" customWidth="1"/>
    <col min="2498" max="2498" width="14.28515625" bestFit="1" customWidth="1"/>
    <col min="2499" max="2499" width="16.42578125" bestFit="1" customWidth="1"/>
    <col min="2500" max="2500" width="19.28515625" bestFit="1" customWidth="1"/>
    <col min="2501" max="2501" width="20.5703125" bestFit="1" customWidth="1"/>
    <col min="2502" max="2502" width="14.28515625" bestFit="1" customWidth="1"/>
    <col min="2503" max="2503" width="16.42578125" bestFit="1" customWidth="1"/>
    <col min="2504" max="2504" width="19.28515625" bestFit="1" customWidth="1"/>
    <col min="2505" max="2505" width="20.5703125" bestFit="1" customWidth="1"/>
    <col min="2506" max="2506" width="14.28515625" bestFit="1" customWidth="1"/>
    <col min="2507" max="2507" width="16.42578125" bestFit="1" customWidth="1"/>
    <col min="2508" max="2508" width="19.28515625" bestFit="1" customWidth="1"/>
    <col min="2509" max="2509" width="20.5703125" bestFit="1" customWidth="1"/>
    <col min="2510" max="2510" width="14.28515625" bestFit="1" customWidth="1"/>
    <col min="2511" max="2511" width="16.42578125" bestFit="1" customWidth="1"/>
    <col min="2512" max="2512" width="19.28515625" bestFit="1" customWidth="1"/>
    <col min="2513" max="2513" width="20.5703125" bestFit="1" customWidth="1"/>
    <col min="2514" max="2514" width="14.28515625" bestFit="1" customWidth="1"/>
    <col min="2515" max="2515" width="16.42578125" bestFit="1" customWidth="1"/>
    <col min="2516" max="2516" width="19.28515625" bestFit="1" customWidth="1"/>
    <col min="2517" max="2517" width="20.5703125" bestFit="1" customWidth="1"/>
    <col min="2518" max="2518" width="14.28515625" bestFit="1" customWidth="1"/>
    <col min="2519" max="2519" width="16.42578125" bestFit="1" customWidth="1"/>
    <col min="2520" max="2520" width="19.28515625" bestFit="1" customWidth="1"/>
    <col min="2521" max="2521" width="20.5703125" bestFit="1" customWidth="1"/>
    <col min="2522" max="2522" width="14.28515625" bestFit="1" customWidth="1"/>
    <col min="2523" max="2523" width="16.42578125" bestFit="1" customWidth="1"/>
    <col min="2524" max="2524" width="19.28515625" bestFit="1" customWidth="1"/>
    <col min="2525" max="2525" width="20.5703125" bestFit="1" customWidth="1"/>
    <col min="2526" max="2526" width="14.28515625" bestFit="1" customWidth="1"/>
    <col min="2527" max="2527" width="16.42578125" bestFit="1" customWidth="1"/>
    <col min="2528" max="2528" width="19.28515625" bestFit="1" customWidth="1"/>
    <col min="2529" max="2529" width="20.5703125" bestFit="1" customWidth="1"/>
    <col min="2530" max="2530" width="14.28515625" bestFit="1" customWidth="1"/>
    <col min="2531" max="2531" width="16.42578125" bestFit="1" customWidth="1"/>
    <col min="2532" max="2532" width="19.28515625" bestFit="1" customWidth="1"/>
    <col min="2533" max="2533" width="20.5703125" bestFit="1" customWidth="1"/>
    <col min="2534" max="2534" width="14.28515625" bestFit="1" customWidth="1"/>
    <col min="2535" max="2535" width="16.42578125" bestFit="1" customWidth="1"/>
    <col min="2536" max="2536" width="19.28515625" bestFit="1" customWidth="1"/>
    <col min="2537" max="2537" width="20.5703125" bestFit="1" customWidth="1"/>
    <col min="2538" max="2538" width="14.28515625" bestFit="1" customWidth="1"/>
    <col min="2539" max="2539" width="16.42578125" bestFit="1" customWidth="1"/>
    <col min="2540" max="2540" width="19.28515625" bestFit="1" customWidth="1"/>
    <col min="2541" max="2541" width="20.5703125" bestFit="1" customWidth="1"/>
    <col min="2542" max="2542" width="14.28515625" bestFit="1" customWidth="1"/>
    <col min="2543" max="2543" width="16.42578125" bestFit="1" customWidth="1"/>
    <col min="2544" max="2544" width="19.28515625" bestFit="1" customWidth="1"/>
    <col min="2545" max="2545" width="20.5703125" bestFit="1" customWidth="1"/>
    <col min="2546" max="2546" width="14.28515625" bestFit="1" customWidth="1"/>
    <col min="2547" max="2547" width="16.42578125" bestFit="1" customWidth="1"/>
    <col min="2548" max="2548" width="19.28515625" bestFit="1" customWidth="1"/>
    <col min="2549" max="2549" width="20.5703125" bestFit="1" customWidth="1"/>
    <col min="2550" max="2550" width="14.28515625" bestFit="1" customWidth="1"/>
    <col min="2551" max="2551" width="16.42578125" bestFit="1" customWidth="1"/>
    <col min="2552" max="2552" width="19.28515625" bestFit="1" customWidth="1"/>
    <col min="2553" max="2553" width="20.5703125" bestFit="1" customWidth="1"/>
    <col min="2554" max="2554" width="14.28515625" bestFit="1" customWidth="1"/>
    <col min="2555" max="2555" width="16.42578125" bestFit="1" customWidth="1"/>
    <col min="2556" max="2556" width="19.28515625" bestFit="1" customWidth="1"/>
    <col min="2557" max="2557" width="20.5703125" bestFit="1" customWidth="1"/>
    <col min="2558" max="2558" width="14.28515625" bestFit="1" customWidth="1"/>
    <col min="2559" max="2559" width="16.42578125" bestFit="1" customWidth="1"/>
    <col min="2560" max="2560" width="19.28515625" bestFit="1" customWidth="1"/>
    <col min="2561" max="2561" width="20.5703125" bestFit="1" customWidth="1"/>
    <col min="2562" max="2562" width="14.28515625" bestFit="1" customWidth="1"/>
    <col min="2563" max="2563" width="16.42578125" bestFit="1" customWidth="1"/>
    <col min="2564" max="2564" width="19.28515625" bestFit="1" customWidth="1"/>
    <col min="2565" max="2565" width="20.5703125" bestFit="1" customWidth="1"/>
    <col min="2566" max="2566" width="14.28515625" bestFit="1" customWidth="1"/>
    <col min="2567" max="2567" width="16.42578125" bestFit="1" customWidth="1"/>
    <col min="2568" max="2568" width="19.28515625" bestFit="1" customWidth="1"/>
    <col min="2569" max="2569" width="20.5703125" bestFit="1" customWidth="1"/>
    <col min="2570" max="2570" width="14.28515625" bestFit="1" customWidth="1"/>
    <col min="2571" max="2571" width="16.42578125" bestFit="1" customWidth="1"/>
    <col min="2572" max="2572" width="19.28515625" bestFit="1" customWidth="1"/>
    <col min="2573" max="2573" width="20.5703125" bestFit="1" customWidth="1"/>
    <col min="2574" max="2574" width="14.28515625" bestFit="1" customWidth="1"/>
    <col min="2575" max="2575" width="16.42578125" bestFit="1" customWidth="1"/>
    <col min="2576" max="2576" width="19.28515625" bestFit="1" customWidth="1"/>
    <col min="2577" max="2577" width="20.5703125" bestFit="1" customWidth="1"/>
    <col min="2578" max="2578" width="14.28515625" bestFit="1" customWidth="1"/>
    <col min="2579" max="2579" width="16.42578125" bestFit="1" customWidth="1"/>
    <col min="2580" max="2580" width="19.28515625" bestFit="1" customWidth="1"/>
    <col min="2581" max="2581" width="20.5703125" bestFit="1" customWidth="1"/>
    <col min="2582" max="2582" width="14.28515625" bestFit="1" customWidth="1"/>
    <col min="2583" max="2583" width="16.42578125" bestFit="1" customWidth="1"/>
    <col min="2584" max="2584" width="19.28515625" bestFit="1" customWidth="1"/>
    <col min="2585" max="2585" width="20.5703125" bestFit="1" customWidth="1"/>
    <col min="2586" max="2586" width="14.28515625" bestFit="1" customWidth="1"/>
    <col min="2587" max="2587" width="16.42578125" bestFit="1" customWidth="1"/>
    <col min="2588" max="2588" width="19.28515625" bestFit="1" customWidth="1"/>
    <col min="2589" max="2589" width="20.5703125" bestFit="1" customWidth="1"/>
    <col min="2590" max="2590" width="14.28515625" bestFit="1" customWidth="1"/>
    <col min="2591" max="2591" width="16.42578125" bestFit="1" customWidth="1"/>
    <col min="2592" max="2592" width="19.28515625" bestFit="1" customWidth="1"/>
    <col min="2593" max="2593" width="20.5703125" bestFit="1" customWidth="1"/>
    <col min="2594" max="2594" width="14.28515625" bestFit="1" customWidth="1"/>
    <col min="2595" max="2595" width="16.42578125" bestFit="1" customWidth="1"/>
    <col min="2596" max="2596" width="19.28515625" bestFit="1" customWidth="1"/>
    <col min="2597" max="2597" width="20.5703125" bestFit="1" customWidth="1"/>
    <col min="2598" max="2598" width="14.28515625" bestFit="1" customWidth="1"/>
    <col min="2599" max="2599" width="16.42578125" bestFit="1" customWidth="1"/>
    <col min="2600" max="2600" width="19.28515625" bestFit="1" customWidth="1"/>
    <col min="2601" max="2601" width="20.5703125" bestFit="1" customWidth="1"/>
    <col min="2602" max="2602" width="14.28515625" bestFit="1" customWidth="1"/>
    <col min="2603" max="2603" width="16.42578125" bestFit="1" customWidth="1"/>
    <col min="2604" max="2604" width="19.28515625" bestFit="1" customWidth="1"/>
    <col min="2605" max="2605" width="20.5703125" bestFit="1" customWidth="1"/>
    <col min="2606" max="2606" width="14.28515625" bestFit="1" customWidth="1"/>
    <col min="2607" max="2607" width="16.42578125" bestFit="1" customWidth="1"/>
    <col min="2608" max="2608" width="19.28515625" bestFit="1" customWidth="1"/>
    <col min="2609" max="2609" width="20.5703125" bestFit="1" customWidth="1"/>
    <col min="2610" max="2610" width="14.28515625" bestFit="1" customWidth="1"/>
    <col min="2611" max="2611" width="16.42578125" bestFit="1" customWidth="1"/>
    <col min="2612" max="2612" width="19.28515625" bestFit="1" customWidth="1"/>
    <col min="2613" max="2613" width="20.5703125" bestFit="1" customWidth="1"/>
    <col min="2614" max="2614" width="14.28515625" bestFit="1" customWidth="1"/>
    <col min="2615" max="2615" width="16.42578125" bestFit="1" customWidth="1"/>
    <col min="2616" max="2616" width="19.28515625" bestFit="1" customWidth="1"/>
    <col min="2617" max="2617" width="20.5703125" bestFit="1" customWidth="1"/>
    <col min="2618" max="2618" width="14.28515625" bestFit="1" customWidth="1"/>
    <col min="2619" max="2619" width="16.42578125" bestFit="1" customWidth="1"/>
    <col min="2620" max="2620" width="19.28515625" bestFit="1" customWidth="1"/>
    <col min="2621" max="2621" width="20.5703125" bestFit="1" customWidth="1"/>
    <col min="2622" max="2622" width="14.28515625" bestFit="1" customWidth="1"/>
    <col min="2623" max="2623" width="16.42578125" bestFit="1" customWidth="1"/>
    <col min="2624" max="2624" width="19.28515625" bestFit="1" customWidth="1"/>
    <col min="2625" max="2625" width="20.5703125" bestFit="1" customWidth="1"/>
    <col min="2626" max="2626" width="14.28515625" bestFit="1" customWidth="1"/>
    <col min="2627" max="2627" width="16.42578125" bestFit="1" customWidth="1"/>
    <col min="2628" max="2628" width="19.28515625" bestFit="1" customWidth="1"/>
    <col min="2629" max="2629" width="20.5703125" bestFit="1" customWidth="1"/>
    <col min="2630" max="2630" width="14.28515625" bestFit="1" customWidth="1"/>
    <col min="2631" max="2631" width="16.42578125" bestFit="1" customWidth="1"/>
    <col min="2632" max="2632" width="19.28515625" bestFit="1" customWidth="1"/>
    <col min="2633" max="2633" width="20.5703125" bestFit="1" customWidth="1"/>
    <col min="2634" max="2634" width="14.28515625" bestFit="1" customWidth="1"/>
    <col min="2635" max="2635" width="16.42578125" bestFit="1" customWidth="1"/>
    <col min="2636" max="2636" width="19.28515625" bestFit="1" customWidth="1"/>
    <col min="2637" max="2637" width="20.5703125" bestFit="1" customWidth="1"/>
    <col min="2638" max="2638" width="14.28515625" bestFit="1" customWidth="1"/>
    <col min="2639" max="2639" width="16.42578125" bestFit="1" customWidth="1"/>
    <col min="2640" max="2640" width="19.28515625" bestFit="1" customWidth="1"/>
    <col min="2641" max="2641" width="20.5703125" bestFit="1" customWidth="1"/>
    <col min="2642" max="2642" width="14.28515625" bestFit="1" customWidth="1"/>
    <col min="2643" max="2643" width="16.42578125" bestFit="1" customWidth="1"/>
    <col min="2644" max="2644" width="19.28515625" bestFit="1" customWidth="1"/>
    <col min="2645" max="2645" width="20.5703125" bestFit="1" customWidth="1"/>
    <col min="2646" max="2646" width="14.28515625" bestFit="1" customWidth="1"/>
    <col min="2647" max="2647" width="16.42578125" bestFit="1" customWidth="1"/>
    <col min="2648" max="2648" width="19.28515625" bestFit="1" customWidth="1"/>
    <col min="2649" max="2649" width="20.5703125" bestFit="1" customWidth="1"/>
    <col min="2650" max="2650" width="14.28515625" bestFit="1" customWidth="1"/>
    <col min="2651" max="2651" width="16.42578125" bestFit="1" customWidth="1"/>
    <col min="2652" max="2652" width="19.28515625" bestFit="1" customWidth="1"/>
    <col min="2653" max="2653" width="20.5703125" bestFit="1" customWidth="1"/>
    <col min="2654" max="2654" width="14.28515625" bestFit="1" customWidth="1"/>
    <col min="2655" max="2655" width="16.42578125" bestFit="1" customWidth="1"/>
    <col min="2656" max="2656" width="19.28515625" bestFit="1" customWidth="1"/>
    <col min="2657" max="2657" width="20.5703125" bestFit="1" customWidth="1"/>
    <col min="2658" max="2658" width="14.28515625" bestFit="1" customWidth="1"/>
    <col min="2659" max="2659" width="16.42578125" bestFit="1" customWidth="1"/>
    <col min="2660" max="2660" width="19.28515625" bestFit="1" customWidth="1"/>
    <col min="2661" max="2661" width="20.5703125" bestFit="1" customWidth="1"/>
    <col min="2662" max="2662" width="14.28515625" bestFit="1" customWidth="1"/>
    <col min="2663" max="2663" width="16.42578125" bestFit="1" customWidth="1"/>
    <col min="2664" max="2664" width="19.28515625" bestFit="1" customWidth="1"/>
    <col min="2665" max="2665" width="20.5703125" bestFit="1" customWidth="1"/>
    <col min="2666" max="2666" width="14.28515625" bestFit="1" customWidth="1"/>
    <col min="2667" max="2667" width="16.42578125" bestFit="1" customWidth="1"/>
    <col min="2668" max="2668" width="19.28515625" bestFit="1" customWidth="1"/>
    <col min="2669" max="2669" width="20.5703125" bestFit="1" customWidth="1"/>
    <col min="2670" max="2670" width="14.28515625" bestFit="1" customWidth="1"/>
    <col min="2671" max="2671" width="16.42578125" bestFit="1" customWidth="1"/>
    <col min="2672" max="2672" width="19.28515625" bestFit="1" customWidth="1"/>
    <col min="2673" max="2673" width="20.5703125" bestFit="1" customWidth="1"/>
    <col min="2674" max="2674" width="14.28515625" bestFit="1" customWidth="1"/>
    <col min="2675" max="2675" width="16.42578125" bestFit="1" customWidth="1"/>
    <col min="2676" max="2676" width="19.28515625" bestFit="1" customWidth="1"/>
    <col min="2677" max="2677" width="20.5703125" bestFit="1" customWidth="1"/>
    <col min="2678" max="2678" width="14.28515625" bestFit="1" customWidth="1"/>
    <col min="2679" max="2679" width="16.42578125" bestFit="1" customWidth="1"/>
    <col min="2680" max="2680" width="19.28515625" bestFit="1" customWidth="1"/>
    <col min="2681" max="2681" width="20.5703125" bestFit="1" customWidth="1"/>
    <col min="2682" max="2682" width="14.28515625" bestFit="1" customWidth="1"/>
    <col min="2683" max="2683" width="16.42578125" bestFit="1" customWidth="1"/>
    <col min="2684" max="2684" width="19.28515625" bestFit="1" customWidth="1"/>
    <col min="2685" max="2685" width="20.5703125" bestFit="1" customWidth="1"/>
    <col min="2686" max="2686" width="14.28515625" bestFit="1" customWidth="1"/>
    <col min="2687" max="2687" width="16.42578125" bestFit="1" customWidth="1"/>
    <col min="2688" max="2688" width="19.28515625" bestFit="1" customWidth="1"/>
    <col min="2689" max="2689" width="20.5703125" bestFit="1" customWidth="1"/>
    <col min="2690" max="2690" width="14.28515625" bestFit="1" customWidth="1"/>
    <col min="2691" max="2691" width="16.42578125" bestFit="1" customWidth="1"/>
    <col min="2692" max="2692" width="19.28515625" bestFit="1" customWidth="1"/>
    <col min="2693" max="2693" width="20.5703125" bestFit="1" customWidth="1"/>
    <col min="2694" max="2694" width="14.28515625" bestFit="1" customWidth="1"/>
    <col min="2695" max="2695" width="16.42578125" bestFit="1" customWidth="1"/>
    <col min="2696" max="2696" width="19.28515625" bestFit="1" customWidth="1"/>
    <col min="2697" max="2697" width="20.5703125" bestFit="1" customWidth="1"/>
    <col min="2698" max="2698" width="14.28515625" bestFit="1" customWidth="1"/>
    <col min="2699" max="2699" width="16.42578125" bestFit="1" customWidth="1"/>
    <col min="2700" max="2700" width="19.28515625" bestFit="1" customWidth="1"/>
    <col min="2701" max="2701" width="20.5703125" bestFit="1" customWidth="1"/>
    <col min="2702" max="2702" width="14.28515625" bestFit="1" customWidth="1"/>
    <col min="2703" max="2703" width="16.42578125" bestFit="1" customWidth="1"/>
    <col min="2704" max="2704" width="19.28515625" bestFit="1" customWidth="1"/>
    <col min="2705" max="2705" width="20.5703125" bestFit="1" customWidth="1"/>
    <col min="2706" max="2706" width="14.28515625" bestFit="1" customWidth="1"/>
    <col min="2707" max="2707" width="16.42578125" bestFit="1" customWidth="1"/>
    <col min="2708" max="2708" width="19.28515625" bestFit="1" customWidth="1"/>
    <col min="2709" max="2709" width="20.5703125" bestFit="1" customWidth="1"/>
    <col min="2710" max="2710" width="14.28515625" bestFit="1" customWidth="1"/>
    <col min="2711" max="2711" width="16.42578125" bestFit="1" customWidth="1"/>
    <col min="2712" max="2712" width="19.28515625" bestFit="1" customWidth="1"/>
    <col min="2713" max="2713" width="20.5703125" bestFit="1" customWidth="1"/>
    <col min="2714" max="2714" width="14.28515625" bestFit="1" customWidth="1"/>
    <col min="2715" max="2715" width="16.42578125" bestFit="1" customWidth="1"/>
    <col min="2716" max="2716" width="19.28515625" bestFit="1" customWidth="1"/>
    <col min="2717" max="2717" width="20.5703125" bestFit="1" customWidth="1"/>
    <col min="2718" max="2718" width="14.28515625" bestFit="1" customWidth="1"/>
    <col min="2719" max="2719" width="16.42578125" bestFit="1" customWidth="1"/>
    <col min="2720" max="2720" width="19.28515625" bestFit="1" customWidth="1"/>
    <col min="2721" max="2721" width="20.5703125" bestFit="1" customWidth="1"/>
    <col min="2722" max="2722" width="14.28515625" bestFit="1" customWidth="1"/>
    <col min="2723" max="2723" width="16.42578125" bestFit="1" customWidth="1"/>
    <col min="2724" max="2724" width="19.28515625" bestFit="1" customWidth="1"/>
    <col min="2725" max="2725" width="20.5703125" bestFit="1" customWidth="1"/>
    <col min="2726" max="2726" width="14.28515625" bestFit="1" customWidth="1"/>
    <col min="2727" max="2727" width="16.42578125" bestFit="1" customWidth="1"/>
    <col min="2728" max="2728" width="19.28515625" bestFit="1" customWidth="1"/>
    <col min="2729" max="2729" width="20.5703125" bestFit="1" customWidth="1"/>
    <col min="2730" max="2730" width="14.28515625" bestFit="1" customWidth="1"/>
    <col min="2731" max="2731" width="16.42578125" bestFit="1" customWidth="1"/>
    <col min="2732" max="2732" width="19.28515625" bestFit="1" customWidth="1"/>
    <col min="2733" max="2733" width="20.5703125" bestFit="1" customWidth="1"/>
    <col min="2734" max="2734" width="14.28515625" bestFit="1" customWidth="1"/>
    <col min="2735" max="2735" width="16.42578125" bestFit="1" customWidth="1"/>
    <col min="2736" max="2736" width="19.28515625" bestFit="1" customWidth="1"/>
    <col min="2737" max="2737" width="20.5703125" bestFit="1" customWidth="1"/>
    <col min="2738" max="2738" width="14.28515625" bestFit="1" customWidth="1"/>
    <col min="2739" max="2739" width="16.42578125" bestFit="1" customWidth="1"/>
    <col min="2740" max="2740" width="19.28515625" bestFit="1" customWidth="1"/>
    <col min="2741" max="2741" width="20.5703125" bestFit="1" customWidth="1"/>
    <col min="2742" max="2742" width="14.28515625" bestFit="1" customWidth="1"/>
    <col min="2743" max="2743" width="16.42578125" bestFit="1" customWidth="1"/>
    <col min="2744" max="2744" width="19.28515625" bestFit="1" customWidth="1"/>
    <col min="2745" max="2745" width="20.5703125" bestFit="1" customWidth="1"/>
    <col min="2746" max="2746" width="14.28515625" bestFit="1" customWidth="1"/>
    <col min="2747" max="2747" width="16.42578125" bestFit="1" customWidth="1"/>
    <col min="2748" max="2748" width="19.28515625" bestFit="1" customWidth="1"/>
    <col min="2749" max="2749" width="20.5703125" bestFit="1" customWidth="1"/>
    <col min="2750" max="2750" width="14.28515625" bestFit="1" customWidth="1"/>
    <col min="2751" max="2751" width="16.42578125" bestFit="1" customWidth="1"/>
    <col min="2752" max="2752" width="19.28515625" bestFit="1" customWidth="1"/>
    <col min="2753" max="2753" width="20.5703125" bestFit="1" customWidth="1"/>
    <col min="2754" max="2754" width="14.28515625" bestFit="1" customWidth="1"/>
    <col min="2755" max="2755" width="16.42578125" bestFit="1" customWidth="1"/>
    <col min="2756" max="2756" width="19.28515625" bestFit="1" customWidth="1"/>
    <col min="2757" max="2757" width="20.5703125" bestFit="1" customWidth="1"/>
    <col min="2758" max="2758" width="19.140625" bestFit="1" customWidth="1"/>
    <col min="2759" max="2759" width="21.28515625" bestFit="1" customWidth="1"/>
    <col min="2760" max="2760" width="24.140625" bestFit="1" customWidth="1"/>
    <col min="2761" max="2761" width="25.42578125" bestFit="1" customWidth="1"/>
  </cols>
  <sheetData>
    <row r="1" spans="1:14">
      <c r="A1" s="5" t="s">
        <v>900</v>
      </c>
      <c r="B1" s="4" t="s">
        <v>901</v>
      </c>
      <c r="I1" s="2" t="s">
        <v>900</v>
      </c>
      <c r="J1" t="s">
        <v>901</v>
      </c>
    </row>
    <row r="2" spans="1:14">
      <c r="A2" s="6" t="s">
        <v>296</v>
      </c>
      <c r="B2" s="4">
        <v>11</v>
      </c>
      <c r="I2" s="3" t="s">
        <v>55</v>
      </c>
      <c r="J2">
        <v>58</v>
      </c>
    </row>
    <row r="3" spans="1:14">
      <c r="A3" s="6" t="s">
        <v>50</v>
      </c>
      <c r="B3" s="4">
        <v>53</v>
      </c>
      <c r="I3" s="3" t="s">
        <v>79</v>
      </c>
      <c r="J3">
        <v>67</v>
      </c>
    </row>
    <row r="4" spans="1:14">
      <c r="A4" s="6" t="s">
        <v>24</v>
      </c>
      <c r="B4" s="4">
        <v>90</v>
      </c>
      <c r="I4" s="3" t="s">
        <v>44</v>
      </c>
      <c r="J4">
        <v>84</v>
      </c>
    </row>
    <row r="5" spans="1:14">
      <c r="A5" s="6" t="s">
        <v>32</v>
      </c>
      <c r="B5" s="4">
        <v>156</v>
      </c>
      <c r="I5" s="3" t="s">
        <v>19</v>
      </c>
      <c r="J5">
        <v>89</v>
      </c>
    </row>
    <row r="6" spans="1:14">
      <c r="A6" s="6" t="s">
        <v>20</v>
      </c>
      <c r="B6" s="4">
        <v>379</v>
      </c>
      <c r="I6" s="3" t="s">
        <v>31</v>
      </c>
      <c r="J6">
        <v>140</v>
      </c>
    </row>
    <row r="7" spans="1:14">
      <c r="A7" s="6" t="s">
        <v>902</v>
      </c>
      <c r="B7" s="4">
        <v>689</v>
      </c>
      <c r="I7" s="3" t="s">
        <v>902</v>
      </c>
      <c r="J7">
        <v>438</v>
      </c>
    </row>
    <row r="8" spans="1:14">
      <c r="M8" s="2" t="s">
        <v>900</v>
      </c>
      <c r="N8" t="s">
        <v>903</v>
      </c>
    </row>
    <row r="9" spans="1:14">
      <c r="A9" s="2" t="s">
        <v>900</v>
      </c>
      <c r="B9" t="s">
        <v>903</v>
      </c>
      <c r="M9" s="3" t="s">
        <v>560</v>
      </c>
      <c r="N9">
        <v>23647</v>
      </c>
    </row>
    <row r="10" spans="1:14">
      <c r="A10" s="3" t="s">
        <v>27</v>
      </c>
      <c r="B10">
        <v>80941</v>
      </c>
      <c r="M10" s="3" t="s">
        <v>33</v>
      </c>
      <c r="N10">
        <v>77643</v>
      </c>
    </row>
    <row r="11" spans="1:14">
      <c r="A11" s="3" t="s">
        <v>18</v>
      </c>
      <c r="B11">
        <v>156764</v>
      </c>
      <c r="M11" s="3" t="s">
        <v>39</v>
      </c>
      <c r="N11">
        <v>74948</v>
      </c>
    </row>
    <row r="12" spans="1:14">
      <c r="A12" s="3" t="s">
        <v>902</v>
      </c>
      <c r="B12">
        <v>237705</v>
      </c>
      <c r="M12" s="3" t="s">
        <v>62</v>
      </c>
      <c r="N12">
        <v>23308</v>
      </c>
    </row>
    <row r="13" spans="1:14">
      <c r="M13" s="3" t="s">
        <v>21</v>
      </c>
      <c r="N13">
        <v>38159</v>
      </c>
    </row>
    <row r="14" spans="1:14">
      <c r="M14" s="3" t="s">
        <v>902</v>
      </c>
      <c r="N14">
        <v>237705</v>
      </c>
    </row>
    <row r="16" spans="1:14">
      <c r="C16" s="8"/>
    </row>
    <row r="22" spans="1:13">
      <c r="A22" s="2" t="s">
        <v>900</v>
      </c>
      <c r="B22" t="s">
        <v>904</v>
      </c>
      <c r="G22" s="12"/>
      <c r="H22" s="9"/>
    </row>
    <row r="23" spans="1:13">
      <c r="A23" s="3" t="s">
        <v>27</v>
      </c>
      <c r="B23">
        <v>1711</v>
      </c>
    </row>
    <row r="24" spans="1:13">
      <c r="A24" s="3" t="s">
        <v>18</v>
      </c>
      <c r="B24">
        <v>3140</v>
      </c>
    </row>
    <row r="25" spans="1:13">
      <c r="A25" s="3" t="s">
        <v>902</v>
      </c>
      <c r="B25">
        <v>4851</v>
      </c>
    </row>
    <row r="26" spans="1:13" s="14" customFormat="1"/>
    <row r="27" spans="1:13">
      <c r="A27" t="s">
        <v>905</v>
      </c>
    </row>
    <row r="28" spans="1:13">
      <c r="A28" s="9">
        <v>2068.2017416545718</v>
      </c>
      <c r="H28" s="26">
        <f>GETPIVOTDATA("[Measures].[Average of Sick Leaves]",$E$32)</f>
        <v>1.6095791001451378</v>
      </c>
    </row>
    <row r="29" spans="1:13">
      <c r="A29" s="14"/>
    </row>
    <row r="30" spans="1:13">
      <c r="A30" s="14"/>
    </row>
    <row r="31" spans="1:13">
      <c r="A31" t="s">
        <v>906</v>
      </c>
      <c r="L31" s="2" t="s">
        <v>900</v>
      </c>
      <c r="M31" t="s">
        <v>907</v>
      </c>
    </row>
    <row r="32" spans="1:13">
      <c r="A32" s="9">
        <v>24818.420899854864</v>
      </c>
      <c r="C32" s="20">
        <f>GETPIVOTDATA("[Measures].[Average of Annual Salary]",$A$31)</f>
        <v>24818.420899854864</v>
      </c>
      <c r="E32" t="s">
        <v>908</v>
      </c>
      <c r="L32" s="3">
        <v>1</v>
      </c>
      <c r="M32">
        <v>183</v>
      </c>
    </row>
    <row r="33" spans="1:13">
      <c r="A33" s="14"/>
      <c r="E33" s="12">
        <v>1.6095791001451378</v>
      </c>
      <c r="G33" s="26">
        <f>GETPIVOTDATA("[Measures].[Average of Sick Leaves]",$E$32)</f>
        <v>1.6095791001451378</v>
      </c>
      <c r="L33" s="3">
        <v>2</v>
      </c>
      <c r="M33">
        <v>198</v>
      </c>
    </row>
    <row r="34" spans="1:13">
      <c r="A34" s="14"/>
      <c r="L34" s="3">
        <v>3</v>
      </c>
      <c r="M34">
        <v>192</v>
      </c>
    </row>
    <row r="35" spans="1:13">
      <c r="A35" t="s">
        <v>909</v>
      </c>
      <c r="L35" s="3">
        <v>4</v>
      </c>
      <c r="M35">
        <v>7</v>
      </c>
    </row>
    <row r="36" spans="1:13">
      <c r="A36" s="7">
        <v>1424991</v>
      </c>
      <c r="B36" s="17"/>
      <c r="C36" s="18">
        <f>GETPIVOTDATA("[Measures].[Sum of Monthly Salary]",$A$35)</f>
        <v>1424991</v>
      </c>
      <c r="L36" s="3">
        <v>5</v>
      </c>
      <c r="M36">
        <v>121</v>
      </c>
    </row>
    <row r="37" spans="1:13">
      <c r="A37" s="14"/>
      <c r="L37" s="3">
        <v>6</v>
      </c>
      <c r="M37">
        <v>8</v>
      </c>
    </row>
    <row r="38" spans="1:13">
      <c r="A38" s="14"/>
      <c r="L38" s="3">
        <v>7</v>
      </c>
      <c r="M38">
        <v>116</v>
      </c>
    </row>
    <row r="39" spans="1:13">
      <c r="A39" t="s">
        <v>910</v>
      </c>
      <c r="L39" s="3">
        <v>8</v>
      </c>
      <c r="M39">
        <v>7</v>
      </c>
    </row>
    <row r="40" spans="1:13">
      <c r="A40" s="8">
        <v>17099892</v>
      </c>
      <c r="L40" s="3">
        <v>9</v>
      </c>
      <c r="M40">
        <v>105</v>
      </c>
    </row>
    <row r="41" spans="1:13">
      <c r="L41" s="3">
        <v>10</v>
      </c>
      <c r="M41">
        <v>153</v>
      </c>
    </row>
    <row r="42" spans="1:13">
      <c r="L42" s="3">
        <v>11</v>
      </c>
      <c r="M42">
        <v>12</v>
      </c>
    </row>
    <row r="43" spans="1:13">
      <c r="A43" s="2" t="s">
        <v>900</v>
      </c>
      <c r="B43" t="s">
        <v>911</v>
      </c>
      <c r="L43" s="3">
        <v>12</v>
      </c>
      <c r="M43">
        <v>70</v>
      </c>
    </row>
    <row r="44" spans="1:13">
      <c r="A44" s="3">
        <v>1</v>
      </c>
      <c r="B44">
        <v>3</v>
      </c>
      <c r="L44" s="3">
        <v>13</v>
      </c>
      <c r="M44">
        <v>85</v>
      </c>
    </row>
    <row r="45" spans="1:13">
      <c r="A45" s="3">
        <v>2</v>
      </c>
      <c r="B45">
        <v>1</v>
      </c>
      <c r="F45" s="16" t="e">
        <f>GETPIVOTDATA("[Measures].[Sum of Years]",$H$45)</f>
        <v>#REF!</v>
      </c>
      <c r="H45" s="2" t="s">
        <v>900</v>
      </c>
      <c r="I45" t="s">
        <v>912</v>
      </c>
      <c r="L45" s="3">
        <v>14</v>
      </c>
      <c r="M45">
        <v>8</v>
      </c>
    </row>
    <row r="46" spans="1:13">
      <c r="A46" s="3">
        <v>3</v>
      </c>
      <c r="B46">
        <v>2</v>
      </c>
      <c r="H46" s="3">
        <v>1</v>
      </c>
      <c r="I46">
        <v>8</v>
      </c>
      <c r="L46" s="3">
        <v>15</v>
      </c>
      <c r="M46">
        <v>8</v>
      </c>
    </row>
    <row r="47" spans="1:13">
      <c r="A47" s="3">
        <v>4</v>
      </c>
      <c r="B47">
        <v>3</v>
      </c>
      <c r="H47" s="3">
        <v>2</v>
      </c>
      <c r="I47">
        <v>6</v>
      </c>
      <c r="L47" s="3">
        <v>16</v>
      </c>
      <c r="M47">
        <v>77</v>
      </c>
    </row>
    <row r="48" spans="1:13">
      <c r="A48" s="3">
        <v>5</v>
      </c>
      <c r="B48">
        <v>5</v>
      </c>
      <c r="H48" s="3">
        <v>3</v>
      </c>
      <c r="I48">
        <v>8</v>
      </c>
      <c r="L48" s="3">
        <v>17</v>
      </c>
      <c r="M48">
        <v>93</v>
      </c>
    </row>
    <row r="49" spans="1:18">
      <c r="A49" s="3">
        <v>6</v>
      </c>
      <c r="B49">
        <v>3</v>
      </c>
      <c r="H49" s="3">
        <v>4</v>
      </c>
      <c r="I49">
        <v>7</v>
      </c>
      <c r="L49" s="3">
        <v>18</v>
      </c>
      <c r="M49">
        <v>153</v>
      </c>
    </row>
    <row r="50" spans="1:18">
      <c r="A50" s="3">
        <v>7</v>
      </c>
      <c r="B50">
        <v>3</v>
      </c>
      <c r="H50" s="3">
        <v>5</v>
      </c>
      <c r="I50">
        <v>6</v>
      </c>
      <c r="L50" s="3">
        <v>19</v>
      </c>
      <c r="M50">
        <v>8</v>
      </c>
    </row>
    <row r="51" spans="1:18">
      <c r="A51" s="3">
        <v>8</v>
      </c>
      <c r="B51">
        <v>5</v>
      </c>
      <c r="H51" s="3">
        <v>6</v>
      </c>
      <c r="I51">
        <v>10</v>
      </c>
      <c r="L51" s="3">
        <v>20</v>
      </c>
      <c r="M51">
        <v>10</v>
      </c>
    </row>
    <row r="52" spans="1:18">
      <c r="A52" s="3">
        <v>9</v>
      </c>
      <c r="B52">
        <v>4.5</v>
      </c>
      <c r="H52" s="3">
        <v>7</v>
      </c>
      <c r="I52">
        <v>6</v>
      </c>
      <c r="L52" s="3">
        <v>21</v>
      </c>
      <c r="M52">
        <v>98</v>
      </c>
      <c r="Q52" s="2" t="s">
        <v>900</v>
      </c>
      <c r="R52" t="s">
        <v>912</v>
      </c>
    </row>
    <row r="53" spans="1:18">
      <c r="A53" s="3">
        <v>10</v>
      </c>
      <c r="B53">
        <v>4.5</v>
      </c>
      <c r="H53" s="3">
        <v>8</v>
      </c>
      <c r="I53">
        <v>8</v>
      </c>
      <c r="L53" s="3">
        <v>22</v>
      </c>
      <c r="M53">
        <v>109</v>
      </c>
      <c r="Q53" s="3" t="s">
        <v>913</v>
      </c>
      <c r="R53" s="24">
        <v>9.6078431372549016</v>
      </c>
    </row>
    <row r="54" spans="1:18">
      <c r="A54" s="3">
        <v>11</v>
      </c>
      <c r="B54">
        <v>2</v>
      </c>
      <c r="H54" s="3">
        <v>9</v>
      </c>
      <c r="I54">
        <v>8</v>
      </c>
      <c r="L54" s="3">
        <v>23</v>
      </c>
      <c r="M54">
        <v>111</v>
      </c>
      <c r="Q54" s="3" t="s">
        <v>914</v>
      </c>
      <c r="R54" s="24">
        <v>8.675324675324676</v>
      </c>
    </row>
    <row r="55" spans="1:18">
      <c r="A55" s="3">
        <v>12</v>
      </c>
      <c r="B55">
        <v>1</v>
      </c>
      <c r="H55" s="3">
        <v>10</v>
      </c>
      <c r="I55">
        <v>6</v>
      </c>
      <c r="L55" s="3">
        <v>24</v>
      </c>
      <c r="M55">
        <v>32</v>
      </c>
      <c r="Q55" s="3" t="s">
        <v>915</v>
      </c>
      <c r="R55" s="24">
        <v>7.6953642384105958</v>
      </c>
    </row>
    <row r="56" spans="1:18">
      <c r="A56" s="3">
        <v>13</v>
      </c>
      <c r="B56">
        <v>5</v>
      </c>
      <c r="H56" s="3">
        <v>11</v>
      </c>
      <c r="I56">
        <v>8</v>
      </c>
      <c r="L56" s="3">
        <v>25</v>
      </c>
      <c r="M56">
        <v>94</v>
      </c>
      <c r="Q56" s="3" t="s">
        <v>916</v>
      </c>
      <c r="R56" s="24">
        <v>6.55241935483871</v>
      </c>
    </row>
    <row r="57" spans="1:18">
      <c r="A57" s="3">
        <v>14</v>
      </c>
      <c r="B57">
        <v>5</v>
      </c>
      <c r="H57" s="3">
        <v>12</v>
      </c>
      <c r="I57">
        <v>8</v>
      </c>
      <c r="L57" s="3">
        <v>26</v>
      </c>
      <c r="M57">
        <v>13</v>
      </c>
      <c r="Q57" s="3" t="s">
        <v>917</v>
      </c>
      <c r="R57" s="24">
        <v>5.5925925925925926</v>
      </c>
    </row>
    <row r="58" spans="1:18">
      <c r="A58" s="3">
        <v>15</v>
      </c>
      <c r="B58">
        <v>3</v>
      </c>
      <c r="H58" s="3">
        <v>13</v>
      </c>
      <c r="I58">
        <v>7</v>
      </c>
      <c r="L58" s="3">
        <v>27</v>
      </c>
      <c r="M58">
        <v>70</v>
      </c>
      <c r="Q58" s="3" t="s">
        <v>902</v>
      </c>
      <c r="R58" s="24">
        <v>7.0406386066763424</v>
      </c>
    </row>
    <row r="59" spans="1:18">
      <c r="A59" s="3">
        <v>16</v>
      </c>
      <c r="B59">
        <v>3</v>
      </c>
      <c r="H59" s="3">
        <v>14</v>
      </c>
      <c r="I59">
        <v>10</v>
      </c>
      <c r="L59" s="3">
        <v>28</v>
      </c>
      <c r="M59">
        <v>9</v>
      </c>
    </row>
    <row r="60" spans="1:18">
      <c r="A60" s="3">
        <v>17</v>
      </c>
      <c r="B60">
        <v>4.5</v>
      </c>
      <c r="H60" s="3">
        <v>15</v>
      </c>
      <c r="I60">
        <v>7</v>
      </c>
      <c r="L60" s="3">
        <v>29</v>
      </c>
      <c r="M60">
        <v>97</v>
      </c>
    </row>
    <row r="61" spans="1:18">
      <c r="A61" s="3">
        <v>18</v>
      </c>
      <c r="B61">
        <v>3</v>
      </c>
      <c r="H61" s="3">
        <v>16</v>
      </c>
      <c r="I61">
        <v>6</v>
      </c>
      <c r="L61" s="3">
        <v>30</v>
      </c>
      <c r="M61">
        <v>71</v>
      </c>
    </row>
    <row r="62" spans="1:18">
      <c r="A62" s="3">
        <v>19</v>
      </c>
      <c r="B62">
        <v>3</v>
      </c>
      <c r="H62" s="3">
        <v>17</v>
      </c>
      <c r="I62">
        <v>10</v>
      </c>
      <c r="L62" s="3">
        <v>31</v>
      </c>
      <c r="M62">
        <v>100</v>
      </c>
    </row>
    <row r="63" spans="1:18">
      <c r="A63" s="3">
        <v>20</v>
      </c>
      <c r="B63">
        <v>2</v>
      </c>
      <c r="H63" s="3">
        <v>18</v>
      </c>
      <c r="I63">
        <v>8</v>
      </c>
      <c r="L63" s="3">
        <v>32</v>
      </c>
      <c r="M63">
        <v>48</v>
      </c>
    </row>
    <row r="64" spans="1:18">
      <c r="A64" s="3">
        <v>21</v>
      </c>
      <c r="B64">
        <v>5</v>
      </c>
      <c r="H64" s="3">
        <v>19</v>
      </c>
      <c r="I64">
        <v>8</v>
      </c>
      <c r="L64" s="3">
        <v>33</v>
      </c>
      <c r="M64">
        <v>148</v>
      </c>
    </row>
    <row r="65" spans="1:13">
      <c r="A65" s="3">
        <v>22</v>
      </c>
      <c r="B65">
        <v>3</v>
      </c>
      <c r="H65" s="3">
        <v>20</v>
      </c>
      <c r="I65">
        <v>6</v>
      </c>
      <c r="L65" s="3">
        <v>34</v>
      </c>
      <c r="M65">
        <v>5</v>
      </c>
    </row>
    <row r="66" spans="1:13">
      <c r="A66" s="3">
        <v>23</v>
      </c>
      <c r="B66">
        <v>3</v>
      </c>
      <c r="H66" s="3">
        <v>21</v>
      </c>
      <c r="I66">
        <v>5</v>
      </c>
      <c r="L66" s="3">
        <v>35</v>
      </c>
      <c r="M66">
        <v>7</v>
      </c>
    </row>
    <row r="67" spans="1:13">
      <c r="A67" s="3">
        <v>24</v>
      </c>
      <c r="B67">
        <v>4.5</v>
      </c>
      <c r="H67" s="3">
        <v>22</v>
      </c>
      <c r="I67">
        <v>7</v>
      </c>
      <c r="L67" s="3">
        <v>36</v>
      </c>
      <c r="M67">
        <v>37</v>
      </c>
    </row>
    <row r="68" spans="1:13">
      <c r="A68" s="3">
        <v>25</v>
      </c>
      <c r="B68">
        <v>3</v>
      </c>
      <c r="H68" s="3">
        <v>23</v>
      </c>
      <c r="I68">
        <v>6</v>
      </c>
      <c r="L68" s="3">
        <v>37</v>
      </c>
      <c r="M68">
        <v>5</v>
      </c>
    </row>
    <row r="69" spans="1:13">
      <c r="A69" s="3">
        <v>26</v>
      </c>
      <c r="B69">
        <v>4.5</v>
      </c>
      <c r="H69" s="3">
        <v>24</v>
      </c>
      <c r="I69">
        <v>6</v>
      </c>
      <c r="L69" s="3">
        <v>38</v>
      </c>
      <c r="M69">
        <v>3</v>
      </c>
    </row>
    <row r="70" spans="1:13">
      <c r="A70" s="3">
        <v>27</v>
      </c>
      <c r="B70">
        <v>5</v>
      </c>
      <c r="H70" s="3">
        <v>25</v>
      </c>
      <c r="I70">
        <v>5</v>
      </c>
      <c r="L70" s="3">
        <v>39</v>
      </c>
      <c r="M70">
        <v>9</v>
      </c>
    </row>
    <row r="71" spans="1:13">
      <c r="A71" s="3">
        <v>28</v>
      </c>
      <c r="B71">
        <v>4.5</v>
      </c>
      <c r="H71" s="3">
        <v>26</v>
      </c>
      <c r="I71">
        <v>6</v>
      </c>
      <c r="L71" s="3">
        <v>40</v>
      </c>
      <c r="M71">
        <v>0</v>
      </c>
    </row>
    <row r="72" spans="1:13">
      <c r="A72" s="3">
        <v>29</v>
      </c>
      <c r="B72">
        <v>5</v>
      </c>
      <c r="H72" s="3">
        <v>27</v>
      </c>
      <c r="I72">
        <v>7</v>
      </c>
      <c r="L72" s="3">
        <v>41</v>
      </c>
      <c r="M72">
        <v>26</v>
      </c>
    </row>
    <row r="73" spans="1:13">
      <c r="A73" s="3">
        <v>30</v>
      </c>
      <c r="B73">
        <v>5</v>
      </c>
      <c r="H73" s="3">
        <v>28</v>
      </c>
      <c r="I73">
        <v>7</v>
      </c>
      <c r="L73" s="3">
        <v>42</v>
      </c>
      <c r="M73">
        <v>7</v>
      </c>
    </row>
    <row r="74" spans="1:13">
      <c r="A74" s="3">
        <v>31</v>
      </c>
      <c r="B74">
        <v>5</v>
      </c>
      <c r="H74" s="3">
        <v>29</v>
      </c>
      <c r="I74">
        <v>6</v>
      </c>
      <c r="L74" s="3">
        <v>43</v>
      </c>
      <c r="M74">
        <v>14</v>
      </c>
    </row>
    <row r="75" spans="1:13">
      <c r="A75" s="3">
        <v>32</v>
      </c>
      <c r="B75">
        <v>3</v>
      </c>
      <c r="H75" s="3">
        <v>30</v>
      </c>
      <c r="I75">
        <v>6</v>
      </c>
      <c r="L75" s="3">
        <v>44</v>
      </c>
      <c r="M75">
        <v>9</v>
      </c>
    </row>
    <row r="76" spans="1:13">
      <c r="A76" s="3">
        <v>33</v>
      </c>
      <c r="B76">
        <v>1</v>
      </c>
      <c r="H76" s="3">
        <v>31</v>
      </c>
      <c r="I76">
        <v>6</v>
      </c>
      <c r="L76" s="3">
        <v>45</v>
      </c>
      <c r="M76">
        <v>7</v>
      </c>
    </row>
    <row r="77" spans="1:13">
      <c r="A77" s="3">
        <v>34</v>
      </c>
      <c r="B77">
        <v>1</v>
      </c>
      <c r="H77" s="3">
        <v>32</v>
      </c>
      <c r="I77">
        <v>7</v>
      </c>
      <c r="L77" s="3">
        <v>46</v>
      </c>
      <c r="M77">
        <v>3</v>
      </c>
    </row>
    <row r="78" spans="1:13">
      <c r="A78" s="3">
        <v>35</v>
      </c>
      <c r="B78">
        <v>4.5</v>
      </c>
      <c r="H78" s="3">
        <v>33</v>
      </c>
      <c r="I78">
        <v>9</v>
      </c>
      <c r="L78" s="3">
        <v>47</v>
      </c>
      <c r="M78">
        <v>0</v>
      </c>
    </row>
    <row r="79" spans="1:13">
      <c r="A79" s="3">
        <v>36</v>
      </c>
      <c r="B79">
        <v>4.5</v>
      </c>
      <c r="H79" s="3">
        <v>34</v>
      </c>
      <c r="I79">
        <v>9</v>
      </c>
      <c r="L79" s="3">
        <v>48</v>
      </c>
      <c r="M79">
        <v>3</v>
      </c>
    </row>
    <row r="80" spans="1:13">
      <c r="A80" s="3">
        <v>37</v>
      </c>
      <c r="B80">
        <v>5</v>
      </c>
      <c r="H80" s="3">
        <v>35</v>
      </c>
      <c r="I80">
        <v>9</v>
      </c>
      <c r="L80" s="3">
        <v>49</v>
      </c>
      <c r="M80">
        <v>1</v>
      </c>
    </row>
    <row r="81" spans="1:13">
      <c r="A81" s="3">
        <v>38</v>
      </c>
      <c r="B81">
        <v>5</v>
      </c>
      <c r="H81" s="3">
        <v>36</v>
      </c>
      <c r="I81">
        <v>6</v>
      </c>
      <c r="L81" s="3">
        <v>50</v>
      </c>
      <c r="M81">
        <v>1</v>
      </c>
    </row>
    <row r="82" spans="1:13">
      <c r="A82" s="3">
        <v>39</v>
      </c>
      <c r="B82">
        <v>3</v>
      </c>
      <c r="H82" s="3">
        <v>37</v>
      </c>
      <c r="I82">
        <v>10</v>
      </c>
      <c r="L82" s="3">
        <v>51</v>
      </c>
      <c r="M82">
        <v>1</v>
      </c>
    </row>
    <row r="83" spans="1:13">
      <c r="A83" s="3">
        <v>40</v>
      </c>
      <c r="B83">
        <v>3</v>
      </c>
      <c r="H83" s="3">
        <v>38</v>
      </c>
      <c r="I83">
        <v>5</v>
      </c>
      <c r="L83" s="3">
        <v>52</v>
      </c>
      <c r="M83">
        <v>10</v>
      </c>
    </row>
    <row r="84" spans="1:13">
      <c r="A84" s="3">
        <v>41</v>
      </c>
      <c r="B84">
        <v>4.5</v>
      </c>
      <c r="H84" s="3">
        <v>39</v>
      </c>
      <c r="I84">
        <v>8</v>
      </c>
      <c r="L84" s="3">
        <v>53</v>
      </c>
      <c r="M84">
        <v>5</v>
      </c>
    </row>
    <row r="85" spans="1:13">
      <c r="A85" s="3">
        <v>42</v>
      </c>
      <c r="B85">
        <v>5</v>
      </c>
      <c r="H85" s="3">
        <v>40</v>
      </c>
      <c r="I85">
        <v>6</v>
      </c>
      <c r="L85" s="3">
        <v>54</v>
      </c>
      <c r="M85">
        <v>10</v>
      </c>
    </row>
    <row r="86" spans="1:13">
      <c r="A86" s="3">
        <v>43</v>
      </c>
      <c r="B86">
        <v>5</v>
      </c>
      <c r="H86" s="3">
        <v>41</v>
      </c>
      <c r="I86">
        <v>7</v>
      </c>
      <c r="L86" s="3">
        <v>55</v>
      </c>
      <c r="M86">
        <v>5</v>
      </c>
    </row>
    <row r="87" spans="1:13">
      <c r="A87" s="3">
        <v>44</v>
      </c>
      <c r="B87">
        <v>3</v>
      </c>
      <c r="H87" s="3">
        <v>42</v>
      </c>
      <c r="I87">
        <v>5</v>
      </c>
      <c r="L87" s="3">
        <v>56</v>
      </c>
      <c r="M87">
        <v>85</v>
      </c>
    </row>
    <row r="88" spans="1:13">
      <c r="A88" s="3">
        <v>45</v>
      </c>
      <c r="B88">
        <v>4.5</v>
      </c>
      <c r="H88" s="3">
        <v>43</v>
      </c>
      <c r="I88">
        <v>9</v>
      </c>
      <c r="L88" s="3">
        <v>57</v>
      </c>
      <c r="M88">
        <v>10</v>
      </c>
    </row>
    <row r="89" spans="1:13">
      <c r="A89" s="3">
        <v>46</v>
      </c>
      <c r="B89">
        <v>2</v>
      </c>
      <c r="H89" s="3">
        <v>44</v>
      </c>
      <c r="I89">
        <v>6</v>
      </c>
      <c r="L89" s="3">
        <v>58</v>
      </c>
      <c r="M89">
        <v>0</v>
      </c>
    </row>
    <row r="90" spans="1:13">
      <c r="A90" s="3">
        <v>47</v>
      </c>
      <c r="B90">
        <v>2</v>
      </c>
      <c r="H90" s="3">
        <v>45</v>
      </c>
      <c r="I90">
        <v>9</v>
      </c>
      <c r="L90" s="3">
        <v>59</v>
      </c>
      <c r="M90">
        <v>11</v>
      </c>
    </row>
    <row r="91" spans="1:13">
      <c r="A91" s="3">
        <v>48</v>
      </c>
      <c r="B91">
        <v>5</v>
      </c>
      <c r="H91" s="3">
        <v>46</v>
      </c>
      <c r="I91">
        <v>6</v>
      </c>
      <c r="L91" s="3">
        <v>60</v>
      </c>
      <c r="M91">
        <v>7</v>
      </c>
    </row>
    <row r="92" spans="1:13">
      <c r="A92" s="3">
        <v>49</v>
      </c>
      <c r="B92">
        <v>3</v>
      </c>
      <c r="H92" s="3">
        <v>47</v>
      </c>
      <c r="I92">
        <v>7</v>
      </c>
      <c r="L92" s="3">
        <v>61</v>
      </c>
      <c r="M92">
        <v>10</v>
      </c>
    </row>
    <row r="93" spans="1:13">
      <c r="A93" s="3">
        <v>50</v>
      </c>
      <c r="B93">
        <v>5</v>
      </c>
      <c r="H93" s="3">
        <v>48</v>
      </c>
      <c r="I93">
        <v>10</v>
      </c>
      <c r="L93" s="3">
        <v>62</v>
      </c>
      <c r="M93">
        <v>2</v>
      </c>
    </row>
    <row r="94" spans="1:13">
      <c r="A94" s="3">
        <v>51</v>
      </c>
      <c r="B94">
        <v>3</v>
      </c>
      <c r="H94" s="3">
        <v>49</v>
      </c>
      <c r="I94">
        <v>6</v>
      </c>
      <c r="L94" s="3">
        <v>63</v>
      </c>
      <c r="M94">
        <v>0</v>
      </c>
    </row>
    <row r="95" spans="1:13">
      <c r="A95" s="3">
        <v>52</v>
      </c>
      <c r="B95">
        <v>2</v>
      </c>
      <c r="H95" s="3">
        <v>50</v>
      </c>
      <c r="I95">
        <v>6</v>
      </c>
      <c r="L95" s="3">
        <v>64</v>
      </c>
      <c r="M95">
        <v>2</v>
      </c>
    </row>
    <row r="96" spans="1:13">
      <c r="A96" s="3">
        <v>53</v>
      </c>
      <c r="B96">
        <v>5</v>
      </c>
      <c r="H96" s="3">
        <v>51</v>
      </c>
      <c r="I96">
        <v>7</v>
      </c>
      <c r="L96" s="3">
        <v>65</v>
      </c>
      <c r="M96">
        <v>50</v>
      </c>
    </row>
    <row r="97" spans="1:556">
      <c r="A97" s="3">
        <v>54</v>
      </c>
      <c r="B97">
        <v>3</v>
      </c>
      <c r="H97" s="3">
        <v>52</v>
      </c>
      <c r="I97">
        <v>6</v>
      </c>
      <c r="L97" s="3">
        <v>66</v>
      </c>
      <c r="M97">
        <v>3</v>
      </c>
    </row>
    <row r="98" spans="1:556">
      <c r="A98" s="3">
        <v>55</v>
      </c>
      <c r="B98">
        <v>3</v>
      </c>
      <c r="H98" s="3">
        <v>53</v>
      </c>
      <c r="I98">
        <v>5</v>
      </c>
      <c r="L98" s="3">
        <v>67</v>
      </c>
      <c r="M98">
        <v>4</v>
      </c>
    </row>
    <row r="99" spans="1:556">
      <c r="A99" s="3">
        <v>56</v>
      </c>
      <c r="B99">
        <v>3</v>
      </c>
      <c r="H99" s="3">
        <v>54</v>
      </c>
      <c r="I99">
        <v>7</v>
      </c>
      <c r="L99" s="3">
        <v>68</v>
      </c>
      <c r="M99">
        <v>0</v>
      </c>
    </row>
    <row r="100" spans="1:556">
      <c r="A100" s="3">
        <v>57</v>
      </c>
      <c r="B100">
        <v>3</v>
      </c>
      <c r="H100" s="3">
        <v>55</v>
      </c>
      <c r="I100">
        <v>9</v>
      </c>
      <c r="L100" s="3">
        <v>69</v>
      </c>
      <c r="M100">
        <v>64</v>
      </c>
    </row>
    <row r="101" spans="1:556">
      <c r="A101" s="3">
        <v>58</v>
      </c>
      <c r="B101">
        <v>5</v>
      </c>
      <c r="H101" s="3">
        <v>56</v>
      </c>
      <c r="I101">
        <v>8</v>
      </c>
      <c r="L101" s="3">
        <v>70</v>
      </c>
      <c r="M101">
        <v>8</v>
      </c>
    </row>
    <row r="102" spans="1:556">
      <c r="A102" s="3">
        <v>59</v>
      </c>
      <c r="B102">
        <v>1</v>
      </c>
      <c r="H102" s="3">
        <v>57</v>
      </c>
      <c r="I102">
        <v>7</v>
      </c>
      <c r="L102" s="3">
        <v>71</v>
      </c>
      <c r="M102">
        <v>2</v>
      </c>
    </row>
    <row r="103" spans="1:556">
      <c r="A103" s="3">
        <v>60</v>
      </c>
      <c r="B103">
        <v>3</v>
      </c>
      <c r="H103" s="3">
        <v>58</v>
      </c>
      <c r="I103">
        <v>6</v>
      </c>
      <c r="L103" s="3">
        <v>72</v>
      </c>
      <c r="M103">
        <v>10</v>
      </c>
      <c r="P103" s="4"/>
      <c r="Q103" s="5" t="s">
        <v>918</v>
      </c>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4"/>
      <c r="ES103" s="4"/>
      <c r="ET103" s="4"/>
      <c r="EU103" s="4"/>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c r="FZ103" s="4"/>
      <c r="GA103" s="4"/>
      <c r="GB103" s="4"/>
      <c r="GC103" s="4"/>
      <c r="GD103" s="4"/>
      <c r="GE103" s="4"/>
      <c r="GF103" s="4"/>
      <c r="GG103" s="4"/>
      <c r="GH103" s="4"/>
      <c r="GI103" s="4"/>
      <c r="GJ103" s="4"/>
      <c r="GK103" s="4"/>
      <c r="GL103" s="4"/>
      <c r="GM103" s="4"/>
      <c r="GN103" s="4"/>
      <c r="GO103" s="4"/>
      <c r="GP103" s="4"/>
      <c r="GQ103" s="4"/>
      <c r="GR103" s="4"/>
      <c r="GS103" s="4"/>
      <c r="GT103" s="4"/>
      <c r="GU103" s="4"/>
      <c r="GV103" s="4"/>
      <c r="GW103" s="4"/>
      <c r="GX103" s="4"/>
      <c r="GY103" s="4"/>
      <c r="GZ103" s="4"/>
      <c r="HA103" s="4"/>
      <c r="HB103" s="4"/>
      <c r="HC103" s="4"/>
      <c r="HD103" s="4"/>
      <c r="HE103" s="4"/>
      <c r="HF103" s="4"/>
      <c r="HG103" s="4"/>
      <c r="HH103" s="4"/>
      <c r="HI103" s="4"/>
      <c r="HJ103" s="4"/>
      <c r="HK103" s="4"/>
      <c r="HL103" s="4"/>
      <c r="HM103" s="4"/>
      <c r="HN103" s="4"/>
      <c r="HO103" s="4"/>
      <c r="HP103" s="4"/>
      <c r="HQ103" s="4"/>
      <c r="HR103" s="4"/>
      <c r="HS103" s="4"/>
      <c r="HT103" s="4"/>
      <c r="HU103" s="4"/>
      <c r="HV103" s="4"/>
      <c r="HW103" s="4"/>
      <c r="HX103" s="4"/>
      <c r="HY103" s="4"/>
      <c r="HZ103" s="4"/>
      <c r="IA103" s="4"/>
      <c r="IB103" s="4"/>
      <c r="IC103" s="4"/>
      <c r="ID103" s="4"/>
      <c r="IE103" s="4"/>
      <c r="IF103" s="4"/>
      <c r="IG103" s="4"/>
      <c r="IH103" s="4"/>
      <c r="II103" s="4"/>
      <c r="IJ103" s="4"/>
      <c r="IK103" s="4"/>
      <c r="IL103" s="4"/>
      <c r="IM103" s="4"/>
      <c r="IN103" s="4"/>
      <c r="IO103" s="4"/>
      <c r="IP103" s="4"/>
      <c r="IQ103" s="4"/>
      <c r="IR103" s="4"/>
      <c r="IS103" s="4"/>
      <c r="IT103" s="4"/>
      <c r="IU103" s="4"/>
      <c r="IV103" s="4"/>
      <c r="IW103" s="4"/>
      <c r="IX103" s="4"/>
      <c r="IY103" s="4"/>
      <c r="IZ103" s="4"/>
      <c r="JA103" s="4"/>
      <c r="JB103" s="4"/>
      <c r="JC103" s="4"/>
      <c r="JD103" s="4"/>
      <c r="JE103" s="4"/>
      <c r="JF103" s="4"/>
      <c r="JG103" s="4"/>
      <c r="JH103" s="4"/>
      <c r="JI103" s="4"/>
      <c r="JJ103" s="4"/>
      <c r="JK103" s="4"/>
      <c r="JL103" s="4"/>
      <c r="JM103" s="4"/>
      <c r="JN103" s="4"/>
      <c r="JO103" s="4"/>
      <c r="JP103" s="4"/>
      <c r="JQ103" s="4"/>
      <c r="JR103" s="4"/>
      <c r="JS103" s="4"/>
      <c r="JT103" s="4"/>
      <c r="JU103" s="4"/>
      <c r="JV103" s="4"/>
      <c r="JW103" s="4"/>
      <c r="JX103" s="4"/>
      <c r="JY103" s="4"/>
      <c r="JZ103" s="4"/>
      <c r="KA103" s="4"/>
      <c r="KB103" s="4"/>
      <c r="KC103" s="4"/>
      <c r="KD103" s="4"/>
      <c r="KE103" s="4"/>
      <c r="KF103" s="4"/>
      <c r="KG103" s="4"/>
      <c r="KH103" s="4"/>
      <c r="KI103" s="4"/>
      <c r="KJ103" s="4"/>
      <c r="KK103" s="4"/>
      <c r="KL103" s="4"/>
      <c r="KM103" s="4"/>
      <c r="KN103" s="4"/>
      <c r="KO103" s="4"/>
      <c r="KP103" s="4"/>
      <c r="KQ103" s="4"/>
      <c r="KR103" s="4"/>
      <c r="KS103" s="4"/>
      <c r="KT103" s="4"/>
      <c r="KU103" s="4"/>
      <c r="KV103" s="4"/>
      <c r="KW103" s="4"/>
      <c r="KX103" s="4"/>
      <c r="KY103" s="4"/>
      <c r="KZ103" s="4"/>
      <c r="LA103" s="4"/>
      <c r="LB103" s="4"/>
      <c r="LC103" s="4"/>
      <c r="LD103" s="4"/>
      <c r="LE103" s="4"/>
      <c r="LF103" s="4"/>
      <c r="LG103" s="4"/>
      <c r="LH103" s="4"/>
      <c r="LI103" s="4"/>
      <c r="LJ103" s="4"/>
      <c r="LK103" s="4"/>
      <c r="LL103" s="4"/>
      <c r="LM103" s="4"/>
      <c r="LN103" s="4"/>
      <c r="LO103" s="4"/>
      <c r="LP103" s="4"/>
      <c r="LQ103" s="4"/>
      <c r="LR103" s="4"/>
      <c r="LS103" s="4"/>
      <c r="LT103" s="4"/>
      <c r="LU103" s="4"/>
      <c r="LV103" s="4"/>
      <c r="LW103" s="4"/>
      <c r="LX103" s="4"/>
      <c r="LY103" s="4"/>
      <c r="LZ103" s="4"/>
      <c r="MA103" s="4"/>
      <c r="MB103" s="4"/>
      <c r="MC103" s="4"/>
      <c r="MD103" s="4"/>
      <c r="ME103" s="4"/>
      <c r="MF103" s="4"/>
      <c r="MG103" s="4"/>
      <c r="MH103" s="4"/>
      <c r="MI103" s="4"/>
      <c r="MJ103" s="4"/>
      <c r="MK103" s="4"/>
      <c r="ML103" s="4"/>
      <c r="MM103" s="4"/>
      <c r="MN103" s="4"/>
      <c r="MO103" s="4"/>
      <c r="MP103" s="4"/>
      <c r="MQ103" s="4"/>
      <c r="MR103" s="4"/>
      <c r="MS103" s="4"/>
      <c r="MT103" s="4"/>
      <c r="MU103" s="4"/>
      <c r="MV103" s="4"/>
      <c r="MW103" s="4"/>
      <c r="MX103" s="4"/>
      <c r="MY103" s="4"/>
      <c r="MZ103" s="4"/>
      <c r="NA103" s="4"/>
      <c r="NB103" s="4"/>
      <c r="NC103" s="4"/>
      <c r="ND103" s="4"/>
      <c r="NE103" s="4"/>
      <c r="NF103" s="4"/>
      <c r="NG103" s="4"/>
      <c r="NH103" s="4"/>
      <c r="NI103" s="4"/>
      <c r="NJ103" s="4"/>
      <c r="NK103" s="4"/>
      <c r="NL103" s="4"/>
      <c r="NM103" s="4"/>
      <c r="NN103" s="4"/>
      <c r="NO103" s="4"/>
      <c r="NP103" s="4"/>
      <c r="NQ103" s="4"/>
      <c r="NR103" s="4"/>
      <c r="NS103" s="4"/>
      <c r="NT103" s="4"/>
      <c r="NU103" s="4"/>
      <c r="NV103" s="4"/>
      <c r="NW103" s="4"/>
      <c r="NX103" s="4"/>
      <c r="NY103" s="4"/>
      <c r="NZ103" s="4"/>
      <c r="OA103" s="4"/>
      <c r="OB103" s="4"/>
      <c r="OC103" s="4"/>
      <c r="OD103" s="4"/>
      <c r="OE103" s="4"/>
      <c r="OF103" s="4"/>
      <c r="OG103" s="4"/>
      <c r="OH103" s="4"/>
      <c r="OI103" s="4"/>
      <c r="OJ103" s="4"/>
      <c r="OK103" s="4"/>
      <c r="OL103" s="4"/>
      <c r="OM103" s="4"/>
      <c r="ON103" s="4"/>
      <c r="OO103" s="4"/>
      <c r="OP103" s="4"/>
      <c r="OQ103" s="4"/>
      <c r="OR103" s="4"/>
      <c r="OS103" s="4"/>
      <c r="OT103" s="4"/>
      <c r="OU103" s="4"/>
      <c r="OV103" s="4"/>
      <c r="OW103" s="4"/>
      <c r="OX103" s="4"/>
      <c r="OY103" s="4"/>
      <c r="OZ103" s="4"/>
      <c r="PA103" s="4"/>
      <c r="PB103" s="4"/>
      <c r="PC103" s="4"/>
      <c r="PD103" s="4"/>
      <c r="PE103" s="4"/>
      <c r="PF103" s="4"/>
      <c r="PG103" s="4"/>
      <c r="PH103" s="4"/>
      <c r="PI103" s="4"/>
      <c r="PJ103" s="4"/>
      <c r="PK103" s="4"/>
      <c r="PL103" s="4"/>
      <c r="PM103" s="4"/>
      <c r="PN103" s="4"/>
      <c r="PO103" s="4"/>
      <c r="PP103" s="4"/>
      <c r="PQ103" s="4"/>
      <c r="PR103" s="4"/>
      <c r="PS103" s="4"/>
      <c r="PT103" s="4"/>
      <c r="PU103" s="4"/>
      <c r="PV103" s="4"/>
      <c r="PW103" s="4"/>
      <c r="PX103" s="4"/>
      <c r="PY103" s="4"/>
      <c r="PZ103" s="4"/>
      <c r="QA103" s="4"/>
      <c r="QB103" s="4"/>
      <c r="QC103" s="4"/>
      <c r="QD103" s="4"/>
      <c r="QE103" s="4"/>
      <c r="QF103" s="4"/>
      <c r="QG103" s="4"/>
      <c r="QH103" s="4"/>
      <c r="QI103" s="4"/>
      <c r="QJ103" s="4"/>
      <c r="QK103" s="4"/>
      <c r="QL103" s="4"/>
      <c r="QM103" s="4"/>
      <c r="QN103" s="4"/>
      <c r="QO103" s="4"/>
      <c r="QP103" s="4"/>
      <c r="QQ103" s="4"/>
      <c r="QR103" s="4"/>
      <c r="QS103" s="4"/>
      <c r="QT103" s="4"/>
      <c r="QU103" s="4"/>
      <c r="QV103" s="4"/>
      <c r="QW103" s="4"/>
      <c r="QX103" s="4"/>
      <c r="QY103" s="4"/>
      <c r="QZ103" s="4"/>
      <c r="RA103" s="4"/>
      <c r="RB103" s="4"/>
      <c r="RC103" s="4"/>
      <c r="RD103" s="4"/>
      <c r="RE103" s="4"/>
      <c r="RF103" s="4"/>
      <c r="RG103" s="4"/>
      <c r="RH103" s="4"/>
      <c r="RI103" s="4"/>
      <c r="RJ103" s="4"/>
      <c r="RK103" s="4"/>
      <c r="RL103" s="4"/>
      <c r="RM103" s="4"/>
      <c r="RN103" s="4"/>
      <c r="RO103" s="4"/>
      <c r="RP103" s="4"/>
      <c r="RQ103" s="4"/>
      <c r="RR103" s="4"/>
      <c r="RS103" s="4"/>
      <c r="RT103" s="4"/>
      <c r="RU103" s="4"/>
      <c r="RV103" s="4"/>
      <c r="RW103" s="4"/>
      <c r="RX103" s="4"/>
      <c r="RY103" s="4"/>
      <c r="RZ103" s="4"/>
      <c r="SA103" s="4"/>
      <c r="SB103" s="4"/>
      <c r="SC103" s="4"/>
      <c r="SD103" s="4"/>
      <c r="SE103" s="4"/>
      <c r="SF103" s="4"/>
      <c r="SG103" s="4"/>
      <c r="SH103" s="4"/>
      <c r="SI103" s="4"/>
      <c r="SJ103" s="4"/>
      <c r="SK103" s="4"/>
      <c r="SL103" s="4"/>
      <c r="SM103" s="4"/>
      <c r="SN103" s="4"/>
      <c r="SO103" s="4"/>
      <c r="SP103" s="4"/>
      <c r="SQ103" s="4"/>
      <c r="SR103" s="4"/>
      <c r="SS103" s="4"/>
      <c r="ST103" s="4"/>
      <c r="SU103" s="4"/>
      <c r="SV103" s="4"/>
      <c r="SW103" s="4"/>
      <c r="SX103" s="4"/>
      <c r="SY103" s="4"/>
      <c r="SZ103" s="4"/>
      <c r="TA103" s="4"/>
      <c r="TB103" s="4"/>
      <c r="TC103" s="4"/>
      <c r="TD103" s="4"/>
      <c r="TE103" s="4"/>
      <c r="TF103" s="4"/>
      <c r="TG103" s="4"/>
      <c r="TH103" s="4"/>
      <c r="TI103" s="4"/>
      <c r="TJ103" s="4"/>
      <c r="TK103" s="4"/>
      <c r="TL103" s="4"/>
      <c r="TM103" s="4"/>
      <c r="TN103" s="4"/>
      <c r="TO103" s="4"/>
      <c r="TP103" s="4"/>
      <c r="TQ103" s="4"/>
      <c r="TR103" s="4"/>
      <c r="TS103" s="4"/>
      <c r="TT103" s="4"/>
      <c r="TU103" s="4"/>
      <c r="TV103" s="4"/>
      <c r="TW103" s="4"/>
      <c r="TX103" s="4"/>
      <c r="TY103" s="4"/>
      <c r="TZ103" s="4"/>
      <c r="UA103" s="4"/>
      <c r="UB103" s="4"/>
      <c r="UC103" s="4"/>
      <c r="UD103" s="4"/>
      <c r="UE103" s="4"/>
      <c r="UF103" s="4"/>
      <c r="UG103" s="4"/>
      <c r="UH103" s="4"/>
      <c r="UI103" s="4"/>
      <c r="UJ103" s="4"/>
    </row>
    <row r="104" spans="1:556">
      <c r="A104" s="3">
        <v>61</v>
      </c>
      <c r="B104">
        <v>3</v>
      </c>
      <c r="H104" s="3">
        <v>59</v>
      </c>
      <c r="I104">
        <v>7</v>
      </c>
      <c r="L104" s="3">
        <v>73</v>
      </c>
      <c r="M104">
        <v>6</v>
      </c>
      <c r="P104" s="4"/>
      <c r="Q104" s="25">
        <v>42377</v>
      </c>
      <c r="R104" s="25">
        <v>42381</v>
      </c>
      <c r="S104" s="25">
        <v>42387</v>
      </c>
      <c r="T104" s="25">
        <v>42389</v>
      </c>
      <c r="U104" s="25">
        <v>42393</v>
      </c>
      <c r="V104" s="25">
        <v>42396</v>
      </c>
      <c r="W104" s="25">
        <v>42402</v>
      </c>
      <c r="X104" s="25">
        <v>42405</v>
      </c>
      <c r="Y104" s="25">
        <v>42409</v>
      </c>
      <c r="Z104" s="25">
        <v>42412</v>
      </c>
      <c r="AA104" s="25">
        <v>42430</v>
      </c>
      <c r="AB104" s="25">
        <v>42434</v>
      </c>
      <c r="AC104" s="25">
        <v>42438</v>
      </c>
      <c r="AD104" s="25">
        <v>42473</v>
      </c>
      <c r="AE104" s="25">
        <v>42480</v>
      </c>
      <c r="AF104" s="25">
        <v>42492</v>
      </c>
      <c r="AG104" s="25">
        <v>42502</v>
      </c>
      <c r="AH104" s="25">
        <v>42504</v>
      </c>
      <c r="AI104" s="25">
        <v>42507</v>
      </c>
      <c r="AJ104" s="25">
        <v>42517</v>
      </c>
      <c r="AK104" s="25">
        <v>42530</v>
      </c>
      <c r="AL104" s="25">
        <v>42537</v>
      </c>
      <c r="AM104" s="25">
        <v>42544</v>
      </c>
      <c r="AN104" s="25">
        <v>42547</v>
      </c>
      <c r="AO104" s="25">
        <v>42556</v>
      </c>
      <c r="AP104" s="25">
        <v>42557</v>
      </c>
      <c r="AQ104" s="25">
        <v>42562</v>
      </c>
      <c r="AR104" s="25">
        <v>42574</v>
      </c>
      <c r="AS104" s="25">
        <v>42576</v>
      </c>
      <c r="AT104" s="25">
        <v>42583</v>
      </c>
      <c r="AU104" s="25">
        <v>42601</v>
      </c>
      <c r="AV104" s="25">
        <v>42603</v>
      </c>
      <c r="AW104" s="25">
        <v>42605</v>
      </c>
      <c r="AX104" s="25">
        <v>42609</v>
      </c>
      <c r="AY104" s="25">
        <v>42626</v>
      </c>
      <c r="AZ104" s="25">
        <v>42629</v>
      </c>
      <c r="BA104" s="25">
        <v>42649</v>
      </c>
      <c r="BB104" s="25">
        <v>42654</v>
      </c>
      <c r="BC104" s="25">
        <v>42659</v>
      </c>
      <c r="BD104" s="25">
        <v>42680</v>
      </c>
      <c r="BE104" s="25">
        <v>42684</v>
      </c>
      <c r="BF104" s="25">
        <v>42687</v>
      </c>
      <c r="BG104" s="25">
        <v>42691</v>
      </c>
      <c r="BH104" s="25">
        <v>42692</v>
      </c>
      <c r="BI104" s="25">
        <v>42695</v>
      </c>
      <c r="BJ104" s="25">
        <v>42701</v>
      </c>
      <c r="BK104" s="25">
        <v>42722</v>
      </c>
      <c r="BL104" s="25">
        <v>42724</v>
      </c>
      <c r="BM104" s="25">
        <v>42726</v>
      </c>
      <c r="BN104" s="25">
        <v>42736</v>
      </c>
      <c r="BO104" s="25">
        <v>42737</v>
      </c>
      <c r="BP104" s="25">
        <v>42747</v>
      </c>
      <c r="BQ104" s="25">
        <v>42765</v>
      </c>
      <c r="BR104" s="25">
        <v>42767</v>
      </c>
      <c r="BS104" s="25">
        <v>42770</v>
      </c>
      <c r="BT104" s="25">
        <v>42772</v>
      </c>
      <c r="BU104" s="25">
        <v>42773</v>
      </c>
      <c r="BV104" s="25">
        <v>42778</v>
      </c>
      <c r="BW104" s="25">
        <v>42781</v>
      </c>
      <c r="BX104" s="25">
        <v>42785</v>
      </c>
      <c r="BY104" s="25">
        <v>42786</v>
      </c>
      <c r="BZ104" s="25">
        <v>42787</v>
      </c>
      <c r="CA104" s="25">
        <v>42788</v>
      </c>
      <c r="CB104" s="25">
        <v>42791</v>
      </c>
      <c r="CC104" s="25">
        <v>42792</v>
      </c>
      <c r="CD104" s="25">
        <v>42795</v>
      </c>
      <c r="CE104" s="25">
        <v>42819</v>
      </c>
      <c r="CF104" s="25">
        <v>42823</v>
      </c>
      <c r="CG104" s="25">
        <v>42829</v>
      </c>
      <c r="CH104" s="25">
        <v>42835</v>
      </c>
      <c r="CI104" s="25">
        <v>42840</v>
      </c>
      <c r="CJ104" s="25">
        <v>42842</v>
      </c>
      <c r="CK104" s="25">
        <v>42852</v>
      </c>
      <c r="CL104" s="25">
        <v>42854</v>
      </c>
      <c r="CM104" s="25">
        <v>42858</v>
      </c>
      <c r="CN104" s="25">
        <v>42860</v>
      </c>
      <c r="CO104" s="25">
        <v>42878</v>
      </c>
      <c r="CP104" s="25">
        <v>42879</v>
      </c>
      <c r="CQ104" s="25">
        <v>42884</v>
      </c>
      <c r="CR104" s="25">
        <v>42892</v>
      </c>
      <c r="CS104" s="25">
        <v>42899</v>
      </c>
      <c r="CT104" s="25">
        <v>42903</v>
      </c>
      <c r="CU104" s="25">
        <v>42904</v>
      </c>
      <c r="CV104" s="25">
        <v>42907</v>
      </c>
      <c r="CW104" s="25">
        <v>42913</v>
      </c>
      <c r="CX104" s="25">
        <v>42914</v>
      </c>
      <c r="CY104" s="25">
        <v>42916</v>
      </c>
      <c r="CZ104" s="25">
        <v>42927</v>
      </c>
      <c r="DA104" s="25">
        <v>42934</v>
      </c>
      <c r="DB104" s="25">
        <v>42937</v>
      </c>
      <c r="DC104" s="25">
        <v>42940</v>
      </c>
      <c r="DD104" s="25">
        <v>42942</v>
      </c>
      <c r="DE104" s="25">
        <v>42943</v>
      </c>
      <c r="DF104" s="25">
        <v>42945</v>
      </c>
      <c r="DG104" s="25">
        <v>42947</v>
      </c>
      <c r="DH104" s="25">
        <v>42952</v>
      </c>
      <c r="DI104" s="25">
        <v>42957</v>
      </c>
      <c r="DJ104" s="25">
        <v>42973</v>
      </c>
      <c r="DK104" s="25">
        <v>42974</v>
      </c>
      <c r="DL104" s="25">
        <v>42977</v>
      </c>
      <c r="DM104" s="25">
        <v>42978</v>
      </c>
      <c r="DN104" s="25">
        <v>42982</v>
      </c>
      <c r="DO104" s="25">
        <v>42992</v>
      </c>
      <c r="DP104" s="25">
        <v>42993</v>
      </c>
      <c r="DQ104" s="25">
        <v>42994</v>
      </c>
      <c r="DR104" s="25">
        <v>42996</v>
      </c>
      <c r="DS104" s="25">
        <v>42998</v>
      </c>
      <c r="DT104" s="25">
        <v>43004</v>
      </c>
      <c r="DU104" s="25">
        <v>43006</v>
      </c>
      <c r="DV104" s="25">
        <v>43007</v>
      </c>
      <c r="DW104" s="25">
        <v>43009</v>
      </c>
      <c r="DX104" s="25">
        <v>43010</v>
      </c>
      <c r="DY104" s="25">
        <v>43013</v>
      </c>
      <c r="DZ104" s="25">
        <v>43038</v>
      </c>
      <c r="EA104" s="25">
        <v>43043</v>
      </c>
      <c r="EB104" s="25">
        <v>43058</v>
      </c>
      <c r="EC104" s="25">
        <v>43062</v>
      </c>
      <c r="ED104" s="25">
        <v>43071</v>
      </c>
      <c r="EE104" s="25">
        <v>43086</v>
      </c>
      <c r="EF104" s="25">
        <v>43096</v>
      </c>
      <c r="EG104" s="25">
        <v>43103</v>
      </c>
      <c r="EH104" s="25">
        <v>43104</v>
      </c>
      <c r="EI104" s="25">
        <v>43106</v>
      </c>
      <c r="EJ104" s="25">
        <v>43107</v>
      </c>
      <c r="EK104" s="25">
        <v>43113</v>
      </c>
      <c r="EL104" s="25">
        <v>43116</v>
      </c>
      <c r="EM104" s="25">
        <v>43125</v>
      </c>
      <c r="EN104" s="25">
        <v>43126</v>
      </c>
      <c r="EO104" s="25">
        <v>43133</v>
      </c>
      <c r="EP104" s="25">
        <v>43136</v>
      </c>
      <c r="EQ104" s="25">
        <v>43137</v>
      </c>
      <c r="ER104" s="25">
        <v>43141</v>
      </c>
      <c r="ES104" s="25">
        <v>43142</v>
      </c>
      <c r="ET104" s="25">
        <v>43146</v>
      </c>
      <c r="EU104" s="25">
        <v>43148</v>
      </c>
      <c r="EV104" s="25">
        <v>43154</v>
      </c>
      <c r="EW104" s="25">
        <v>43156</v>
      </c>
      <c r="EX104" s="25">
        <v>43159</v>
      </c>
      <c r="EY104" s="25">
        <v>43160</v>
      </c>
      <c r="EZ104" s="25">
        <v>43166</v>
      </c>
      <c r="FA104" s="25">
        <v>43168</v>
      </c>
      <c r="FB104" s="25">
        <v>43170</v>
      </c>
      <c r="FC104" s="25">
        <v>43171</v>
      </c>
      <c r="FD104" s="25">
        <v>43173</v>
      </c>
      <c r="FE104" s="25">
        <v>43175</v>
      </c>
      <c r="FF104" s="25">
        <v>43176</v>
      </c>
      <c r="FG104" s="25">
        <v>43182</v>
      </c>
      <c r="FH104" s="25">
        <v>43183</v>
      </c>
      <c r="FI104" s="25">
        <v>43184</v>
      </c>
      <c r="FJ104" s="25">
        <v>43194</v>
      </c>
      <c r="FK104" s="25">
        <v>43195</v>
      </c>
      <c r="FL104" s="25">
        <v>43197</v>
      </c>
      <c r="FM104" s="25">
        <v>43199</v>
      </c>
      <c r="FN104" s="25">
        <v>43200</v>
      </c>
      <c r="FO104" s="25">
        <v>43204</v>
      </c>
      <c r="FP104" s="25">
        <v>43207</v>
      </c>
      <c r="FQ104" s="25">
        <v>43210</v>
      </c>
      <c r="FR104" s="25">
        <v>43214</v>
      </c>
      <c r="FS104" s="25">
        <v>43215</v>
      </c>
      <c r="FT104" s="25">
        <v>43218</v>
      </c>
      <c r="FU104" s="25">
        <v>43223</v>
      </c>
      <c r="FV104" s="25">
        <v>43224</v>
      </c>
      <c r="FW104" s="25">
        <v>43225</v>
      </c>
      <c r="FX104" s="25">
        <v>43230</v>
      </c>
      <c r="FY104" s="25">
        <v>43232</v>
      </c>
      <c r="FZ104" s="25">
        <v>43234</v>
      </c>
      <c r="GA104" s="25">
        <v>43237</v>
      </c>
      <c r="GB104" s="25">
        <v>43239</v>
      </c>
      <c r="GC104" s="25">
        <v>43240</v>
      </c>
      <c r="GD104" s="25">
        <v>43244</v>
      </c>
      <c r="GE104" s="25">
        <v>43245</v>
      </c>
      <c r="GF104" s="25">
        <v>43248</v>
      </c>
      <c r="GG104" s="25">
        <v>43249</v>
      </c>
      <c r="GH104" s="25">
        <v>43250</v>
      </c>
      <c r="GI104" s="25">
        <v>43256</v>
      </c>
      <c r="GJ104" s="25">
        <v>43260</v>
      </c>
      <c r="GK104" s="25">
        <v>43262</v>
      </c>
      <c r="GL104" s="25">
        <v>43265</v>
      </c>
      <c r="GM104" s="25">
        <v>43266</v>
      </c>
      <c r="GN104" s="25">
        <v>43268</v>
      </c>
      <c r="GO104" s="25">
        <v>43269</v>
      </c>
      <c r="GP104" s="25">
        <v>43272</v>
      </c>
      <c r="GQ104" s="25">
        <v>43275</v>
      </c>
      <c r="GR104" s="25">
        <v>43279</v>
      </c>
      <c r="GS104" s="25">
        <v>43280</v>
      </c>
      <c r="GT104" s="25">
        <v>43284</v>
      </c>
      <c r="GU104" s="25">
        <v>43286</v>
      </c>
      <c r="GV104" s="25">
        <v>43289</v>
      </c>
      <c r="GW104" s="25">
        <v>43290</v>
      </c>
      <c r="GX104" s="25">
        <v>43300</v>
      </c>
      <c r="GY104" s="25">
        <v>43301</v>
      </c>
      <c r="GZ104" s="25">
        <v>43307</v>
      </c>
      <c r="HA104" s="25">
        <v>43309</v>
      </c>
      <c r="HB104" s="25">
        <v>43314</v>
      </c>
      <c r="HC104" s="25">
        <v>43315</v>
      </c>
      <c r="HD104" s="25">
        <v>43322</v>
      </c>
      <c r="HE104" s="25">
        <v>43326</v>
      </c>
      <c r="HF104" s="25">
        <v>43329</v>
      </c>
      <c r="HG104" s="25">
        <v>43339</v>
      </c>
      <c r="HH104" s="25">
        <v>43348</v>
      </c>
      <c r="HI104" s="25">
        <v>43351</v>
      </c>
      <c r="HJ104" s="25">
        <v>43358</v>
      </c>
      <c r="HK104" s="25">
        <v>43362</v>
      </c>
      <c r="HL104" s="25">
        <v>43373</v>
      </c>
      <c r="HM104" s="25">
        <v>43376</v>
      </c>
      <c r="HN104" s="25">
        <v>43378</v>
      </c>
      <c r="HO104" s="25">
        <v>43384</v>
      </c>
      <c r="HP104" s="25">
        <v>43385</v>
      </c>
      <c r="HQ104" s="25">
        <v>43397</v>
      </c>
      <c r="HR104" s="25">
        <v>43398</v>
      </c>
      <c r="HS104" s="25">
        <v>43403</v>
      </c>
      <c r="HT104" s="25">
        <v>43410</v>
      </c>
      <c r="HU104" s="25">
        <v>43411</v>
      </c>
      <c r="HV104" s="25">
        <v>43413</v>
      </c>
      <c r="HW104" s="25">
        <v>43415</v>
      </c>
      <c r="HX104" s="25">
        <v>43430</v>
      </c>
      <c r="HY104" s="25">
        <v>43431</v>
      </c>
      <c r="HZ104" s="25">
        <v>43433</v>
      </c>
      <c r="IA104" s="25">
        <v>43435</v>
      </c>
      <c r="IB104" s="25">
        <v>43437</v>
      </c>
      <c r="IC104" s="25">
        <v>43438</v>
      </c>
      <c r="ID104" s="25">
        <v>43439</v>
      </c>
      <c r="IE104" s="25">
        <v>43442</v>
      </c>
      <c r="IF104" s="25">
        <v>43443</v>
      </c>
      <c r="IG104" s="25">
        <v>43444</v>
      </c>
      <c r="IH104" s="25">
        <v>43448</v>
      </c>
      <c r="II104" s="25">
        <v>43453</v>
      </c>
      <c r="IJ104" s="25">
        <v>43454</v>
      </c>
      <c r="IK104" s="25">
        <v>43458</v>
      </c>
      <c r="IL104" s="25">
        <v>43461</v>
      </c>
      <c r="IM104" s="25">
        <v>43466</v>
      </c>
      <c r="IN104" s="25">
        <v>43467</v>
      </c>
      <c r="IO104" s="25">
        <v>43468</v>
      </c>
      <c r="IP104" s="25">
        <v>43471</v>
      </c>
      <c r="IQ104" s="25">
        <v>43472</v>
      </c>
      <c r="IR104" s="25">
        <v>43473</v>
      </c>
      <c r="IS104" s="25">
        <v>43474</v>
      </c>
      <c r="IT104" s="25">
        <v>43475</v>
      </c>
      <c r="IU104" s="25">
        <v>43476</v>
      </c>
      <c r="IV104" s="25">
        <v>43479</v>
      </c>
      <c r="IW104" s="25">
        <v>43480</v>
      </c>
      <c r="IX104" s="25">
        <v>43481</v>
      </c>
      <c r="IY104" s="25">
        <v>43482</v>
      </c>
      <c r="IZ104" s="25">
        <v>43483</v>
      </c>
      <c r="JA104" s="25">
        <v>43487</v>
      </c>
      <c r="JB104" s="25">
        <v>43490</v>
      </c>
      <c r="JC104" s="25">
        <v>43492</v>
      </c>
      <c r="JD104" s="25">
        <v>43493</v>
      </c>
      <c r="JE104" s="25">
        <v>43496</v>
      </c>
      <c r="JF104" s="25">
        <v>43497</v>
      </c>
      <c r="JG104" s="25">
        <v>43498</v>
      </c>
      <c r="JH104" s="25">
        <v>43499</v>
      </c>
      <c r="JI104" s="25">
        <v>43500</v>
      </c>
      <c r="JJ104" s="25">
        <v>43502</v>
      </c>
      <c r="JK104" s="25">
        <v>43505</v>
      </c>
      <c r="JL104" s="25">
        <v>43506</v>
      </c>
      <c r="JM104" s="25">
        <v>43507</v>
      </c>
      <c r="JN104" s="25">
        <v>43508</v>
      </c>
      <c r="JO104" s="25">
        <v>43511</v>
      </c>
      <c r="JP104" s="25">
        <v>43512</v>
      </c>
      <c r="JQ104" s="25">
        <v>43520</v>
      </c>
      <c r="JR104" s="25">
        <v>43524</v>
      </c>
      <c r="JS104" s="25">
        <v>43525</v>
      </c>
      <c r="JT104" s="25">
        <v>43527</v>
      </c>
      <c r="JU104" s="25">
        <v>43528</v>
      </c>
      <c r="JV104" s="25">
        <v>43529</v>
      </c>
      <c r="JW104" s="25">
        <v>43530</v>
      </c>
      <c r="JX104" s="25">
        <v>43537</v>
      </c>
      <c r="JY104" s="25">
        <v>43538</v>
      </c>
      <c r="JZ104" s="25">
        <v>43540</v>
      </c>
      <c r="KA104" s="25">
        <v>43541</v>
      </c>
      <c r="KB104" s="25">
        <v>43542</v>
      </c>
      <c r="KC104" s="25">
        <v>43546</v>
      </c>
      <c r="KD104" s="25">
        <v>43547</v>
      </c>
      <c r="KE104" s="25">
        <v>43551</v>
      </c>
      <c r="KF104" s="25">
        <v>43553</v>
      </c>
      <c r="KG104" s="25">
        <v>43555</v>
      </c>
      <c r="KH104" s="25">
        <v>43556</v>
      </c>
      <c r="KI104" s="25">
        <v>43557</v>
      </c>
      <c r="KJ104" s="25">
        <v>43558</v>
      </c>
      <c r="KK104" s="25">
        <v>43560</v>
      </c>
      <c r="KL104" s="25">
        <v>43562</v>
      </c>
      <c r="KM104" s="25">
        <v>43563</v>
      </c>
      <c r="KN104" s="25">
        <v>43565</v>
      </c>
      <c r="KO104" s="25">
        <v>43566</v>
      </c>
      <c r="KP104" s="25">
        <v>43568</v>
      </c>
      <c r="KQ104" s="25">
        <v>43571</v>
      </c>
      <c r="KR104" s="25">
        <v>43572</v>
      </c>
      <c r="KS104" s="25">
        <v>43573</v>
      </c>
      <c r="KT104" s="25">
        <v>43574</v>
      </c>
      <c r="KU104" s="25">
        <v>43576</v>
      </c>
      <c r="KV104" s="25">
        <v>43577</v>
      </c>
      <c r="KW104" s="25">
        <v>43579</v>
      </c>
      <c r="KX104" s="25">
        <v>43581</v>
      </c>
      <c r="KY104" s="25">
        <v>43582</v>
      </c>
      <c r="KZ104" s="25">
        <v>43586</v>
      </c>
      <c r="LA104" s="25">
        <v>43590</v>
      </c>
      <c r="LB104" s="25">
        <v>43591</v>
      </c>
      <c r="LC104" s="25">
        <v>43592</v>
      </c>
      <c r="LD104" s="25">
        <v>43593</v>
      </c>
      <c r="LE104" s="25">
        <v>43594</v>
      </c>
      <c r="LF104" s="25">
        <v>43595</v>
      </c>
      <c r="LG104" s="25">
        <v>43600</v>
      </c>
      <c r="LH104" s="25">
        <v>43603</v>
      </c>
      <c r="LI104" s="25">
        <v>43604</v>
      </c>
      <c r="LJ104" s="25">
        <v>43605</v>
      </c>
      <c r="LK104" s="25">
        <v>43607</v>
      </c>
      <c r="LL104" s="25">
        <v>43612</v>
      </c>
      <c r="LM104" s="25">
        <v>43614</v>
      </c>
      <c r="LN104" s="25">
        <v>43615</v>
      </c>
      <c r="LO104" s="25">
        <v>43617</v>
      </c>
      <c r="LP104" s="25">
        <v>43618</v>
      </c>
      <c r="LQ104" s="25">
        <v>43622</v>
      </c>
      <c r="LR104" s="25">
        <v>43623</v>
      </c>
      <c r="LS104" s="25">
        <v>43635</v>
      </c>
      <c r="LT104" s="25">
        <v>43638</v>
      </c>
      <c r="LU104" s="25">
        <v>43641</v>
      </c>
      <c r="LV104" s="25">
        <v>43642</v>
      </c>
      <c r="LW104" s="25">
        <v>43643</v>
      </c>
      <c r="LX104" s="25">
        <v>43647</v>
      </c>
      <c r="LY104" s="25">
        <v>43648</v>
      </c>
      <c r="LZ104" s="25">
        <v>43652</v>
      </c>
      <c r="MA104" s="25">
        <v>43653</v>
      </c>
      <c r="MB104" s="25">
        <v>43654</v>
      </c>
      <c r="MC104" s="25">
        <v>43657</v>
      </c>
      <c r="MD104" s="25">
        <v>43661</v>
      </c>
      <c r="ME104" s="25">
        <v>43663</v>
      </c>
      <c r="MF104" s="25">
        <v>43665</v>
      </c>
      <c r="MG104" s="25">
        <v>43666</v>
      </c>
      <c r="MH104" s="25">
        <v>43674</v>
      </c>
      <c r="MI104" s="25">
        <v>43675</v>
      </c>
      <c r="MJ104" s="25">
        <v>43676</v>
      </c>
      <c r="MK104" s="25">
        <v>43680</v>
      </c>
      <c r="ML104" s="25">
        <v>43681</v>
      </c>
      <c r="MM104" s="25">
        <v>43683</v>
      </c>
      <c r="MN104" s="25">
        <v>43684</v>
      </c>
      <c r="MO104" s="25">
        <v>43687</v>
      </c>
      <c r="MP104" s="25">
        <v>43688</v>
      </c>
      <c r="MQ104" s="25">
        <v>43690</v>
      </c>
      <c r="MR104" s="25">
        <v>43692</v>
      </c>
      <c r="MS104" s="25">
        <v>43693</v>
      </c>
      <c r="MT104" s="25">
        <v>43694</v>
      </c>
      <c r="MU104" s="25">
        <v>43697</v>
      </c>
      <c r="MV104" s="25">
        <v>43698</v>
      </c>
      <c r="MW104" s="25">
        <v>43699</v>
      </c>
      <c r="MX104" s="25">
        <v>43704</v>
      </c>
      <c r="MY104" s="25">
        <v>43705</v>
      </c>
      <c r="MZ104" s="25">
        <v>43707</v>
      </c>
      <c r="NA104" s="25">
        <v>43711</v>
      </c>
      <c r="NB104" s="25">
        <v>43715</v>
      </c>
      <c r="NC104" s="25">
        <v>43720</v>
      </c>
      <c r="ND104" s="25">
        <v>43722</v>
      </c>
      <c r="NE104" s="25">
        <v>43725</v>
      </c>
      <c r="NF104" s="25">
        <v>43726</v>
      </c>
      <c r="NG104" s="25">
        <v>43728</v>
      </c>
      <c r="NH104" s="25">
        <v>43729</v>
      </c>
      <c r="NI104" s="25">
        <v>43731</v>
      </c>
      <c r="NJ104" s="25">
        <v>43733</v>
      </c>
      <c r="NK104" s="25">
        <v>43735</v>
      </c>
      <c r="NL104" s="25">
        <v>43737</v>
      </c>
      <c r="NM104" s="25">
        <v>43740</v>
      </c>
      <c r="NN104" s="25">
        <v>43741</v>
      </c>
      <c r="NO104" s="25">
        <v>43742</v>
      </c>
      <c r="NP104" s="25">
        <v>43744</v>
      </c>
      <c r="NQ104" s="25">
        <v>43745</v>
      </c>
      <c r="NR104" s="25">
        <v>43746</v>
      </c>
      <c r="NS104" s="25">
        <v>43750</v>
      </c>
      <c r="NT104" s="25">
        <v>43752</v>
      </c>
      <c r="NU104" s="25">
        <v>43753</v>
      </c>
      <c r="NV104" s="25">
        <v>43755</v>
      </c>
      <c r="NW104" s="25">
        <v>43757</v>
      </c>
      <c r="NX104" s="25">
        <v>43758</v>
      </c>
      <c r="NY104" s="25">
        <v>43759</v>
      </c>
      <c r="NZ104" s="25">
        <v>43761</v>
      </c>
      <c r="OA104" s="25">
        <v>43762</v>
      </c>
      <c r="OB104" s="25">
        <v>43764</v>
      </c>
      <c r="OC104" s="25">
        <v>43765</v>
      </c>
      <c r="OD104" s="25">
        <v>43766</v>
      </c>
      <c r="OE104" s="25">
        <v>43770</v>
      </c>
      <c r="OF104" s="25">
        <v>43775</v>
      </c>
      <c r="OG104" s="25">
        <v>43776</v>
      </c>
      <c r="OH104" s="25">
        <v>43777</v>
      </c>
      <c r="OI104" s="25">
        <v>43780</v>
      </c>
      <c r="OJ104" s="25">
        <v>43781</v>
      </c>
      <c r="OK104" s="25">
        <v>43783</v>
      </c>
      <c r="OL104" s="25">
        <v>43784</v>
      </c>
      <c r="OM104" s="25">
        <v>43785</v>
      </c>
      <c r="ON104" s="25">
        <v>43786</v>
      </c>
      <c r="OO104" s="25">
        <v>43787</v>
      </c>
      <c r="OP104" s="25">
        <v>43792</v>
      </c>
      <c r="OQ104" s="25">
        <v>43793</v>
      </c>
      <c r="OR104" s="25">
        <v>43794</v>
      </c>
      <c r="OS104" s="25">
        <v>43795</v>
      </c>
      <c r="OT104" s="25">
        <v>43797</v>
      </c>
      <c r="OU104" s="25">
        <v>43800</v>
      </c>
      <c r="OV104" s="25">
        <v>43802</v>
      </c>
      <c r="OW104" s="25">
        <v>43803</v>
      </c>
      <c r="OX104" s="25">
        <v>43806</v>
      </c>
      <c r="OY104" s="25">
        <v>43809</v>
      </c>
      <c r="OZ104" s="25">
        <v>43810</v>
      </c>
      <c r="PA104" s="25">
        <v>43811</v>
      </c>
      <c r="PB104" s="25">
        <v>43813</v>
      </c>
      <c r="PC104" s="25">
        <v>43815</v>
      </c>
      <c r="PD104" s="25">
        <v>43817</v>
      </c>
      <c r="PE104" s="25">
        <v>43821</v>
      </c>
      <c r="PF104" s="25">
        <v>43822</v>
      </c>
      <c r="PG104" s="25">
        <v>43823</v>
      </c>
      <c r="PH104" s="25">
        <v>43825</v>
      </c>
      <c r="PI104" s="25">
        <v>43826</v>
      </c>
      <c r="PJ104" s="25">
        <v>43830</v>
      </c>
      <c r="PK104" s="25">
        <v>43832</v>
      </c>
      <c r="PL104" s="25">
        <v>43833</v>
      </c>
      <c r="PM104" s="25">
        <v>43834</v>
      </c>
      <c r="PN104" s="25">
        <v>43835</v>
      </c>
      <c r="PO104" s="25">
        <v>43837</v>
      </c>
      <c r="PP104" s="25">
        <v>43838</v>
      </c>
      <c r="PQ104" s="25">
        <v>43840</v>
      </c>
      <c r="PR104" s="25">
        <v>43846</v>
      </c>
      <c r="PS104" s="25">
        <v>43849</v>
      </c>
      <c r="PT104" s="25">
        <v>43850</v>
      </c>
      <c r="PU104" s="25">
        <v>43851</v>
      </c>
      <c r="PV104" s="25">
        <v>43852</v>
      </c>
      <c r="PW104" s="25">
        <v>43856</v>
      </c>
      <c r="PX104" s="25">
        <v>43865</v>
      </c>
      <c r="PY104" s="25">
        <v>43867</v>
      </c>
      <c r="PZ104" s="25">
        <v>43869</v>
      </c>
      <c r="QA104" s="25">
        <v>43870</v>
      </c>
      <c r="QB104" s="25">
        <v>43884</v>
      </c>
      <c r="QC104" s="25">
        <v>43886</v>
      </c>
      <c r="QD104" s="25">
        <v>43890</v>
      </c>
      <c r="QE104" s="25">
        <v>43894</v>
      </c>
      <c r="QF104" s="25">
        <v>43895</v>
      </c>
      <c r="QG104" s="25">
        <v>43897</v>
      </c>
      <c r="QH104" s="25">
        <v>43899</v>
      </c>
      <c r="QI104" s="25">
        <v>43900</v>
      </c>
      <c r="QJ104" s="25">
        <v>43901</v>
      </c>
      <c r="QK104" s="25">
        <v>43905</v>
      </c>
      <c r="QL104" s="25">
        <v>43908</v>
      </c>
      <c r="QM104" s="25">
        <v>43915</v>
      </c>
      <c r="QN104" s="25">
        <v>43931</v>
      </c>
      <c r="QO104" s="25">
        <v>43933</v>
      </c>
      <c r="QP104" s="25">
        <v>43936</v>
      </c>
      <c r="QQ104" s="25">
        <v>43939</v>
      </c>
      <c r="QR104" s="25">
        <v>43940</v>
      </c>
      <c r="QS104" s="25">
        <v>43941</v>
      </c>
      <c r="QT104" s="25">
        <v>43944</v>
      </c>
      <c r="QU104" s="25">
        <v>43945</v>
      </c>
      <c r="QV104" s="25">
        <v>43950</v>
      </c>
      <c r="QW104" s="25">
        <v>43951</v>
      </c>
      <c r="QX104" s="25">
        <v>43954</v>
      </c>
      <c r="QY104" s="25">
        <v>43956</v>
      </c>
      <c r="QZ104" s="25">
        <v>43957</v>
      </c>
      <c r="RA104" s="25">
        <v>43958</v>
      </c>
      <c r="RB104" s="25">
        <v>43959</v>
      </c>
      <c r="RC104" s="25">
        <v>43960</v>
      </c>
      <c r="RD104" s="25">
        <v>43963</v>
      </c>
      <c r="RE104" s="25">
        <v>43966</v>
      </c>
      <c r="RF104" s="25">
        <v>43967</v>
      </c>
      <c r="RG104" s="25">
        <v>43972</v>
      </c>
      <c r="RH104" s="25">
        <v>43974</v>
      </c>
      <c r="RI104" s="25">
        <v>43977</v>
      </c>
      <c r="RJ104" s="25">
        <v>43978</v>
      </c>
      <c r="RK104" s="25">
        <v>43979</v>
      </c>
      <c r="RL104" s="25">
        <v>43981</v>
      </c>
      <c r="RM104" s="25">
        <v>43982</v>
      </c>
      <c r="RN104" s="25">
        <v>43985</v>
      </c>
      <c r="RO104" s="25">
        <v>43991</v>
      </c>
      <c r="RP104" s="25">
        <v>43993</v>
      </c>
      <c r="RQ104" s="25">
        <v>43995</v>
      </c>
      <c r="RR104" s="25">
        <v>43996</v>
      </c>
      <c r="RS104" s="25">
        <v>43998</v>
      </c>
      <c r="RT104" s="25">
        <v>44008</v>
      </c>
      <c r="RU104" s="25">
        <v>44010</v>
      </c>
      <c r="RV104" s="25">
        <v>44011</v>
      </c>
      <c r="RW104" s="25">
        <v>44016</v>
      </c>
      <c r="RX104" s="25">
        <v>44023</v>
      </c>
      <c r="RY104" s="25">
        <v>44025</v>
      </c>
      <c r="RZ104" s="25">
        <v>44027</v>
      </c>
      <c r="SA104" s="25">
        <v>44028</v>
      </c>
      <c r="SB104" s="25">
        <v>44030</v>
      </c>
      <c r="SC104" s="25">
        <v>44032</v>
      </c>
      <c r="SD104" s="25">
        <v>44036</v>
      </c>
      <c r="SE104" s="25">
        <v>44039</v>
      </c>
      <c r="SF104" s="25">
        <v>44044</v>
      </c>
      <c r="SG104" s="25">
        <v>44045</v>
      </c>
      <c r="SH104" s="25">
        <v>44048</v>
      </c>
      <c r="SI104" s="25">
        <v>44054</v>
      </c>
      <c r="SJ104" s="25">
        <v>44055</v>
      </c>
      <c r="SK104" s="25">
        <v>44063</v>
      </c>
      <c r="SL104" s="25">
        <v>44064</v>
      </c>
      <c r="SM104" s="25">
        <v>44069</v>
      </c>
      <c r="SN104" s="25">
        <v>44071</v>
      </c>
      <c r="SO104" s="25">
        <v>44072</v>
      </c>
      <c r="SP104" s="25">
        <v>44082</v>
      </c>
      <c r="SQ104" s="25">
        <v>44085</v>
      </c>
      <c r="SR104" s="25">
        <v>44087</v>
      </c>
      <c r="SS104" s="25">
        <v>44091</v>
      </c>
      <c r="ST104" s="25">
        <v>44092</v>
      </c>
      <c r="SU104" s="25">
        <v>44097</v>
      </c>
      <c r="SV104" s="25">
        <v>44102</v>
      </c>
      <c r="SW104" s="25">
        <v>44103</v>
      </c>
      <c r="SX104" s="25">
        <v>44106</v>
      </c>
      <c r="SY104" s="25">
        <v>44109</v>
      </c>
      <c r="SZ104" s="25">
        <v>44115</v>
      </c>
      <c r="TA104" s="25">
        <v>44118</v>
      </c>
      <c r="TB104" s="25">
        <v>44119</v>
      </c>
      <c r="TC104" s="25">
        <v>44122</v>
      </c>
      <c r="TD104" s="25">
        <v>44123</v>
      </c>
      <c r="TE104" s="25">
        <v>44125</v>
      </c>
      <c r="TF104" s="25">
        <v>44126</v>
      </c>
      <c r="TG104" s="25">
        <v>44127</v>
      </c>
      <c r="TH104" s="25">
        <v>44130</v>
      </c>
      <c r="TI104" s="25">
        <v>44134</v>
      </c>
      <c r="TJ104" s="25">
        <v>44138</v>
      </c>
      <c r="TK104" s="25">
        <v>44139</v>
      </c>
      <c r="TL104" s="25">
        <v>44141</v>
      </c>
      <c r="TM104" s="25">
        <v>44144</v>
      </c>
      <c r="TN104" s="25">
        <v>44146</v>
      </c>
      <c r="TO104" s="25">
        <v>44149</v>
      </c>
      <c r="TP104" s="25">
        <v>44150</v>
      </c>
      <c r="TQ104" s="25">
        <v>44152</v>
      </c>
      <c r="TR104" s="25">
        <v>44156</v>
      </c>
      <c r="TS104" s="25">
        <v>44162</v>
      </c>
      <c r="TT104" s="25">
        <v>44163</v>
      </c>
      <c r="TU104" s="25">
        <v>44164</v>
      </c>
      <c r="TV104" s="25">
        <v>44165</v>
      </c>
      <c r="TW104" s="25">
        <v>44167</v>
      </c>
      <c r="TX104" s="25">
        <v>44168</v>
      </c>
      <c r="TY104" s="25">
        <v>44169</v>
      </c>
      <c r="TZ104" s="25">
        <v>44175</v>
      </c>
      <c r="UA104" s="25">
        <v>44177</v>
      </c>
      <c r="UB104" s="25">
        <v>44178</v>
      </c>
      <c r="UC104" s="25">
        <v>44179</v>
      </c>
      <c r="UD104" s="25">
        <v>44181</v>
      </c>
      <c r="UE104" s="25">
        <v>44182</v>
      </c>
      <c r="UF104" s="25">
        <v>44184</v>
      </c>
      <c r="UG104" s="25">
        <v>44191</v>
      </c>
      <c r="UH104" s="25">
        <v>44192</v>
      </c>
      <c r="UI104" s="25">
        <v>44194</v>
      </c>
      <c r="UJ104" s="4" t="s">
        <v>902</v>
      </c>
    </row>
    <row r="105" spans="1:556">
      <c r="A105" s="3">
        <v>62</v>
      </c>
      <c r="B105">
        <v>3</v>
      </c>
      <c r="H105" s="3">
        <v>60</v>
      </c>
      <c r="I105">
        <v>7</v>
      </c>
      <c r="L105" s="3">
        <v>74</v>
      </c>
      <c r="M105">
        <v>0</v>
      </c>
      <c r="P105" s="4" t="s">
        <v>901</v>
      </c>
      <c r="Q105" s="4">
        <v>1</v>
      </c>
      <c r="R105" s="4">
        <v>1</v>
      </c>
      <c r="S105" s="4">
        <v>1</v>
      </c>
      <c r="T105" s="4">
        <v>1</v>
      </c>
      <c r="U105" s="4">
        <v>1</v>
      </c>
      <c r="V105" s="4">
        <v>1</v>
      </c>
      <c r="W105" s="4">
        <v>1</v>
      </c>
      <c r="X105" s="4">
        <v>1</v>
      </c>
      <c r="Y105" s="4">
        <v>1</v>
      </c>
      <c r="Z105" s="4">
        <v>1</v>
      </c>
      <c r="AA105" s="4">
        <v>1</v>
      </c>
      <c r="AB105" s="4">
        <v>1</v>
      </c>
      <c r="AC105" s="4">
        <v>1</v>
      </c>
      <c r="AD105" s="4">
        <v>1</v>
      </c>
      <c r="AE105" s="4">
        <v>1</v>
      </c>
      <c r="AF105" s="4">
        <v>1</v>
      </c>
      <c r="AG105" s="4">
        <v>1</v>
      </c>
      <c r="AH105" s="4">
        <v>1</v>
      </c>
      <c r="AI105" s="4">
        <v>1</v>
      </c>
      <c r="AJ105" s="4">
        <v>1</v>
      </c>
      <c r="AK105" s="4">
        <v>1</v>
      </c>
      <c r="AL105" s="4">
        <v>1</v>
      </c>
      <c r="AM105" s="4">
        <v>1</v>
      </c>
      <c r="AN105" s="4">
        <v>1</v>
      </c>
      <c r="AO105" s="4">
        <v>1</v>
      </c>
      <c r="AP105" s="4">
        <v>2</v>
      </c>
      <c r="AQ105" s="4">
        <v>1</v>
      </c>
      <c r="AR105" s="4">
        <v>1</v>
      </c>
      <c r="AS105" s="4">
        <v>1</v>
      </c>
      <c r="AT105" s="4">
        <v>1</v>
      </c>
      <c r="AU105" s="4">
        <v>1</v>
      </c>
      <c r="AV105" s="4">
        <v>1</v>
      </c>
      <c r="AW105" s="4">
        <v>2</v>
      </c>
      <c r="AX105" s="4">
        <v>1</v>
      </c>
      <c r="AY105" s="4">
        <v>1</v>
      </c>
      <c r="AZ105" s="4">
        <v>1</v>
      </c>
      <c r="BA105" s="4">
        <v>1</v>
      </c>
      <c r="BB105" s="4">
        <v>1</v>
      </c>
      <c r="BC105" s="4">
        <v>1</v>
      </c>
      <c r="BD105" s="4">
        <v>1</v>
      </c>
      <c r="BE105" s="4">
        <v>1</v>
      </c>
      <c r="BF105" s="4">
        <v>1</v>
      </c>
      <c r="BG105" s="4">
        <v>1</v>
      </c>
      <c r="BH105" s="4">
        <v>1</v>
      </c>
      <c r="BI105" s="4">
        <v>1</v>
      </c>
      <c r="BJ105" s="4">
        <v>1</v>
      </c>
      <c r="BK105" s="4">
        <v>1</v>
      </c>
      <c r="BL105" s="4">
        <v>1</v>
      </c>
      <c r="BM105" s="4">
        <v>1</v>
      </c>
      <c r="BN105" s="4">
        <v>1</v>
      </c>
      <c r="BO105" s="4">
        <v>1</v>
      </c>
      <c r="BP105" s="4">
        <v>1</v>
      </c>
      <c r="BQ105" s="4">
        <v>1</v>
      </c>
      <c r="BR105" s="4">
        <v>1</v>
      </c>
      <c r="BS105" s="4">
        <v>1</v>
      </c>
      <c r="BT105" s="4">
        <v>1</v>
      </c>
      <c r="BU105" s="4">
        <v>1</v>
      </c>
      <c r="BV105" s="4">
        <v>1</v>
      </c>
      <c r="BW105" s="4">
        <v>1</v>
      </c>
      <c r="BX105" s="4">
        <v>1</v>
      </c>
      <c r="BY105" s="4">
        <v>1</v>
      </c>
      <c r="BZ105" s="4">
        <v>1</v>
      </c>
      <c r="CA105" s="4">
        <v>1</v>
      </c>
      <c r="CB105" s="4">
        <v>1</v>
      </c>
      <c r="CC105" s="4">
        <v>1</v>
      </c>
      <c r="CD105" s="4">
        <v>1</v>
      </c>
      <c r="CE105" s="4">
        <v>1</v>
      </c>
      <c r="CF105" s="4">
        <v>1</v>
      </c>
      <c r="CG105" s="4">
        <v>1</v>
      </c>
      <c r="CH105" s="4">
        <v>1</v>
      </c>
      <c r="CI105" s="4">
        <v>1</v>
      </c>
      <c r="CJ105" s="4">
        <v>1</v>
      </c>
      <c r="CK105" s="4">
        <v>1</v>
      </c>
      <c r="CL105" s="4">
        <v>1</v>
      </c>
      <c r="CM105" s="4">
        <v>2</v>
      </c>
      <c r="CN105" s="4">
        <v>1</v>
      </c>
      <c r="CO105" s="4">
        <v>1</v>
      </c>
      <c r="CP105" s="4">
        <v>2</v>
      </c>
      <c r="CQ105" s="4">
        <v>1</v>
      </c>
      <c r="CR105" s="4">
        <v>1</v>
      </c>
      <c r="CS105" s="4">
        <v>1</v>
      </c>
      <c r="CT105" s="4">
        <v>1</v>
      </c>
      <c r="CU105" s="4">
        <v>1</v>
      </c>
      <c r="CV105" s="4">
        <v>1</v>
      </c>
      <c r="CW105" s="4">
        <v>1</v>
      </c>
      <c r="CX105" s="4">
        <v>1</v>
      </c>
      <c r="CY105" s="4">
        <v>1</v>
      </c>
      <c r="CZ105" s="4">
        <v>2</v>
      </c>
      <c r="DA105" s="4">
        <v>1</v>
      </c>
      <c r="DB105" s="4">
        <v>1</v>
      </c>
      <c r="DC105" s="4">
        <v>1</v>
      </c>
      <c r="DD105" s="4">
        <v>1</v>
      </c>
      <c r="DE105" s="4">
        <v>1</v>
      </c>
      <c r="DF105" s="4">
        <v>2</v>
      </c>
      <c r="DG105" s="4">
        <v>1</v>
      </c>
      <c r="DH105" s="4">
        <v>2</v>
      </c>
      <c r="DI105" s="4">
        <v>1</v>
      </c>
      <c r="DJ105" s="4">
        <v>1</v>
      </c>
      <c r="DK105" s="4">
        <v>1</v>
      </c>
      <c r="DL105" s="4">
        <v>1</v>
      </c>
      <c r="DM105" s="4">
        <v>1</v>
      </c>
      <c r="DN105" s="4">
        <v>1</v>
      </c>
      <c r="DO105" s="4">
        <v>1</v>
      </c>
      <c r="DP105" s="4">
        <v>1</v>
      </c>
      <c r="DQ105" s="4">
        <v>1</v>
      </c>
      <c r="DR105" s="4">
        <v>1</v>
      </c>
      <c r="DS105" s="4">
        <v>1</v>
      </c>
      <c r="DT105" s="4">
        <v>1</v>
      </c>
      <c r="DU105" s="4">
        <v>1</v>
      </c>
      <c r="DV105" s="4">
        <v>1</v>
      </c>
      <c r="DW105" s="4">
        <v>1</v>
      </c>
      <c r="DX105" s="4">
        <v>1</v>
      </c>
      <c r="DY105" s="4">
        <v>1</v>
      </c>
      <c r="DZ105" s="4">
        <v>1</v>
      </c>
      <c r="EA105" s="4">
        <v>2</v>
      </c>
      <c r="EB105" s="4">
        <v>1</v>
      </c>
      <c r="EC105" s="4">
        <v>1</v>
      </c>
      <c r="ED105" s="4">
        <v>1</v>
      </c>
      <c r="EE105" s="4">
        <v>1</v>
      </c>
      <c r="EF105" s="4">
        <v>1</v>
      </c>
      <c r="EG105" s="4">
        <v>1</v>
      </c>
      <c r="EH105" s="4">
        <v>2</v>
      </c>
      <c r="EI105" s="4">
        <v>1</v>
      </c>
      <c r="EJ105" s="4">
        <v>1</v>
      </c>
      <c r="EK105" s="4">
        <v>2</v>
      </c>
      <c r="EL105" s="4">
        <v>2</v>
      </c>
      <c r="EM105" s="4">
        <v>1</v>
      </c>
      <c r="EN105" s="4">
        <v>1</v>
      </c>
      <c r="EO105" s="4">
        <v>2</v>
      </c>
      <c r="EP105" s="4">
        <v>3</v>
      </c>
      <c r="EQ105" s="4">
        <v>1</v>
      </c>
      <c r="ER105" s="4">
        <v>2</v>
      </c>
      <c r="ES105" s="4">
        <v>1</v>
      </c>
      <c r="ET105" s="4">
        <v>1</v>
      </c>
      <c r="EU105" s="4">
        <v>1</v>
      </c>
      <c r="EV105" s="4">
        <v>1</v>
      </c>
      <c r="EW105" s="4">
        <v>1</v>
      </c>
      <c r="EX105" s="4">
        <v>1</v>
      </c>
      <c r="EY105" s="4">
        <v>1</v>
      </c>
      <c r="EZ105" s="4">
        <v>1</v>
      </c>
      <c r="FA105" s="4">
        <v>1</v>
      </c>
      <c r="FB105" s="4">
        <v>2</v>
      </c>
      <c r="FC105" s="4">
        <v>2</v>
      </c>
      <c r="FD105" s="4">
        <v>2</v>
      </c>
      <c r="FE105" s="4">
        <v>1</v>
      </c>
      <c r="FF105" s="4">
        <v>1</v>
      </c>
      <c r="FG105" s="4">
        <v>1</v>
      </c>
      <c r="FH105" s="4">
        <v>2</v>
      </c>
      <c r="FI105" s="4">
        <v>1</v>
      </c>
      <c r="FJ105" s="4">
        <v>3</v>
      </c>
      <c r="FK105" s="4">
        <v>2</v>
      </c>
      <c r="FL105" s="4">
        <v>1</v>
      </c>
      <c r="FM105" s="4">
        <v>1</v>
      </c>
      <c r="FN105" s="4">
        <v>1</v>
      </c>
      <c r="FO105" s="4">
        <v>1</v>
      </c>
      <c r="FP105" s="4">
        <v>1</v>
      </c>
      <c r="FQ105" s="4">
        <v>1</v>
      </c>
      <c r="FR105" s="4">
        <v>1</v>
      </c>
      <c r="FS105" s="4">
        <v>1</v>
      </c>
      <c r="FT105" s="4">
        <v>1</v>
      </c>
      <c r="FU105" s="4">
        <v>1</v>
      </c>
      <c r="FV105" s="4">
        <v>2</v>
      </c>
      <c r="FW105" s="4">
        <v>1</v>
      </c>
      <c r="FX105" s="4">
        <v>1</v>
      </c>
      <c r="FY105" s="4">
        <v>1</v>
      </c>
      <c r="FZ105" s="4">
        <v>1</v>
      </c>
      <c r="GA105" s="4">
        <v>2</v>
      </c>
      <c r="GB105" s="4">
        <v>1</v>
      </c>
      <c r="GC105" s="4">
        <v>1</v>
      </c>
      <c r="GD105" s="4">
        <v>1</v>
      </c>
      <c r="GE105" s="4">
        <v>1</v>
      </c>
      <c r="GF105" s="4">
        <v>1</v>
      </c>
      <c r="GG105" s="4">
        <v>2</v>
      </c>
      <c r="GH105" s="4">
        <v>3</v>
      </c>
      <c r="GI105" s="4">
        <v>1</v>
      </c>
      <c r="GJ105" s="4">
        <v>1</v>
      </c>
      <c r="GK105" s="4">
        <v>1</v>
      </c>
      <c r="GL105" s="4">
        <v>3</v>
      </c>
      <c r="GM105" s="4">
        <v>1</v>
      </c>
      <c r="GN105" s="4">
        <v>2</v>
      </c>
      <c r="GO105" s="4">
        <v>1</v>
      </c>
      <c r="GP105" s="4">
        <v>1</v>
      </c>
      <c r="GQ105" s="4">
        <v>2</v>
      </c>
      <c r="GR105" s="4">
        <v>1</v>
      </c>
      <c r="GS105" s="4">
        <v>2</v>
      </c>
      <c r="GT105" s="4">
        <v>1</v>
      </c>
      <c r="GU105" s="4">
        <v>2</v>
      </c>
      <c r="GV105" s="4">
        <v>2</v>
      </c>
      <c r="GW105" s="4">
        <v>2</v>
      </c>
      <c r="GX105" s="4">
        <v>2</v>
      </c>
      <c r="GY105" s="4">
        <v>1</v>
      </c>
      <c r="GZ105" s="4">
        <v>1</v>
      </c>
      <c r="HA105" s="4">
        <v>2</v>
      </c>
      <c r="HB105" s="4">
        <v>1</v>
      </c>
      <c r="HC105" s="4">
        <v>2</v>
      </c>
      <c r="HD105" s="4">
        <v>1</v>
      </c>
      <c r="HE105" s="4">
        <v>2</v>
      </c>
      <c r="HF105" s="4">
        <v>1</v>
      </c>
      <c r="HG105" s="4">
        <v>2</v>
      </c>
      <c r="HH105" s="4">
        <v>3</v>
      </c>
      <c r="HI105" s="4">
        <v>2</v>
      </c>
      <c r="HJ105" s="4">
        <v>1</v>
      </c>
      <c r="HK105" s="4">
        <v>2</v>
      </c>
      <c r="HL105" s="4">
        <v>1</v>
      </c>
      <c r="HM105" s="4">
        <v>1</v>
      </c>
      <c r="HN105" s="4">
        <v>1</v>
      </c>
      <c r="HO105" s="4">
        <v>1</v>
      </c>
      <c r="HP105" s="4">
        <v>1</v>
      </c>
      <c r="HQ105" s="4">
        <v>1</v>
      </c>
      <c r="HR105" s="4">
        <v>2</v>
      </c>
      <c r="HS105" s="4">
        <v>2</v>
      </c>
      <c r="HT105" s="4">
        <v>1</v>
      </c>
      <c r="HU105" s="4">
        <v>1</v>
      </c>
      <c r="HV105" s="4">
        <v>2</v>
      </c>
      <c r="HW105" s="4">
        <v>1</v>
      </c>
      <c r="HX105" s="4">
        <v>1</v>
      </c>
      <c r="HY105" s="4">
        <v>1</v>
      </c>
      <c r="HZ105" s="4">
        <v>1</v>
      </c>
      <c r="IA105" s="4">
        <v>1</v>
      </c>
      <c r="IB105" s="4">
        <v>1</v>
      </c>
      <c r="IC105" s="4">
        <v>2</v>
      </c>
      <c r="ID105" s="4">
        <v>2</v>
      </c>
      <c r="IE105" s="4">
        <v>1</v>
      </c>
      <c r="IF105" s="4">
        <v>1</v>
      </c>
      <c r="IG105" s="4">
        <v>1</v>
      </c>
      <c r="IH105" s="4">
        <v>1</v>
      </c>
      <c r="II105" s="4">
        <v>1</v>
      </c>
      <c r="IJ105" s="4">
        <v>1</v>
      </c>
      <c r="IK105" s="4">
        <v>1</v>
      </c>
      <c r="IL105" s="4">
        <v>1</v>
      </c>
      <c r="IM105" s="4">
        <v>1</v>
      </c>
      <c r="IN105" s="4">
        <v>1</v>
      </c>
      <c r="IO105" s="4">
        <v>1</v>
      </c>
      <c r="IP105" s="4">
        <v>1</v>
      </c>
      <c r="IQ105" s="4">
        <v>1</v>
      </c>
      <c r="IR105" s="4">
        <v>2</v>
      </c>
      <c r="IS105" s="4">
        <v>1</v>
      </c>
      <c r="IT105" s="4">
        <v>1</v>
      </c>
      <c r="IU105" s="4">
        <v>1</v>
      </c>
      <c r="IV105" s="4">
        <v>1</v>
      </c>
      <c r="IW105" s="4">
        <v>1</v>
      </c>
      <c r="IX105" s="4">
        <v>2</v>
      </c>
      <c r="IY105" s="4">
        <v>1</v>
      </c>
      <c r="IZ105" s="4">
        <v>1</v>
      </c>
      <c r="JA105" s="4">
        <v>3</v>
      </c>
      <c r="JB105" s="4">
        <v>1</v>
      </c>
      <c r="JC105" s="4">
        <v>1</v>
      </c>
      <c r="JD105" s="4">
        <v>1</v>
      </c>
      <c r="JE105" s="4">
        <v>1</v>
      </c>
      <c r="JF105" s="4">
        <v>1</v>
      </c>
      <c r="JG105" s="4">
        <v>2</v>
      </c>
      <c r="JH105" s="4">
        <v>1</v>
      </c>
      <c r="JI105" s="4">
        <v>2</v>
      </c>
      <c r="JJ105" s="4">
        <v>1</v>
      </c>
      <c r="JK105" s="4">
        <v>1</v>
      </c>
      <c r="JL105" s="4">
        <v>1</v>
      </c>
      <c r="JM105" s="4">
        <v>1</v>
      </c>
      <c r="JN105" s="4">
        <v>3</v>
      </c>
      <c r="JO105" s="4">
        <v>1</v>
      </c>
      <c r="JP105" s="4">
        <v>3</v>
      </c>
      <c r="JQ105" s="4">
        <v>1</v>
      </c>
      <c r="JR105" s="4">
        <v>1</v>
      </c>
      <c r="JS105" s="4">
        <v>1</v>
      </c>
      <c r="JT105" s="4">
        <v>1</v>
      </c>
      <c r="JU105" s="4">
        <v>1</v>
      </c>
      <c r="JV105" s="4">
        <v>1</v>
      </c>
      <c r="JW105" s="4">
        <v>2</v>
      </c>
      <c r="JX105" s="4">
        <v>1</v>
      </c>
      <c r="JY105" s="4">
        <v>1</v>
      </c>
      <c r="JZ105" s="4">
        <v>1</v>
      </c>
      <c r="KA105" s="4">
        <v>1</v>
      </c>
      <c r="KB105" s="4">
        <v>2</v>
      </c>
      <c r="KC105" s="4">
        <v>1</v>
      </c>
      <c r="KD105" s="4">
        <v>1</v>
      </c>
      <c r="KE105" s="4">
        <v>2</v>
      </c>
      <c r="KF105" s="4">
        <v>2</v>
      </c>
      <c r="KG105" s="4">
        <v>1</v>
      </c>
      <c r="KH105" s="4">
        <v>1</v>
      </c>
      <c r="KI105" s="4">
        <v>2</v>
      </c>
      <c r="KJ105" s="4">
        <v>2</v>
      </c>
      <c r="KK105" s="4">
        <v>1</v>
      </c>
      <c r="KL105" s="4">
        <v>1</v>
      </c>
      <c r="KM105" s="4">
        <v>1</v>
      </c>
      <c r="KN105" s="4">
        <v>1</v>
      </c>
      <c r="KO105" s="4">
        <v>1</v>
      </c>
      <c r="KP105" s="4">
        <v>1</v>
      </c>
      <c r="KQ105" s="4">
        <v>2</v>
      </c>
      <c r="KR105" s="4">
        <v>2</v>
      </c>
      <c r="KS105" s="4">
        <v>1</v>
      </c>
      <c r="KT105" s="4">
        <v>2</v>
      </c>
      <c r="KU105" s="4">
        <v>1</v>
      </c>
      <c r="KV105" s="4">
        <v>1</v>
      </c>
      <c r="KW105" s="4">
        <v>1</v>
      </c>
      <c r="KX105" s="4">
        <v>1</v>
      </c>
      <c r="KY105" s="4">
        <v>2</v>
      </c>
      <c r="KZ105" s="4">
        <v>1</v>
      </c>
      <c r="LA105" s="4">
        <v>1</v>
      </c>
      <c r="LB105" s="4">
        <v>2</v>
      </c>
      <c r="LC105" s="4">
        <v>2</v>
      </c>
      <c r="LD105" s="4">
        <v>1</v>
      </c>
      <c r="LE105" s="4">
        <v>1</v>
      </c>
      <c r="LF105" s="4">
        <v>1</v>
      </c>
      <c r="LG105" s="4">
        <v>1</v>
      </c>
      <c r="LH105" s="4">
        <v>2</v>
      </c>
      <c r="LI105" s="4">
        <v>2</v>
      </c>
      <c r="LJ105" s="4">
        <v>1</v>
      </c>
      <c r="LK105" s="4">
        <v>1</v>
      </c>
      <c r="LL105" s="4">
        <v>1</v>
      </c>
      <c r="LM105" s="4">
        <v>1</v>
      </c>
      <c r="LN105" s="4">
        <v>1</v>
      </c>
      <c r="LO105" s="4">
        <v>2</v>
      </c>
      <c r="LP105" s="4">
        <v>3</v>
      </c>
      <c r="LQ105" s="4">
        <v>1</v>
      </c>
      <c r="LR105" s="4">
        <v>1</v>
      </c>
      <c r="LS105" s="4">
        <v>1</v>
      </c>
      <c r="LT105" s="4">
        <v>1</v>
      </c>
      <c r="LU105" s="4">
        <v>1</v>
      </c>
      <c r="LV105" s="4">
        <v>1</v>
      </c>
      <c r="LW105" s="4">
        <v>1</v>
      </c>
      <c r="LX105" s="4">
        <v>1</v>
      </c>
      <c r="LY105" s="4">
        <v>1</v>
      </c>
      <c r="LZ105" s="4">
        <v>2</v>
      </c>
      <c r="MA105" s="4">
        <v>1</v>
      </c>
      <c r="MB105" s="4">
        <v>1</v>
      </c>
      <c r="MC105" s="4">
        <v>1</v>
      </c>
      <c r="MD105" s="4">
        <v>1</v>
      </c>
      <c r="ME105" s="4">
        <v>3</v>
      </c>
      <c r="MF105" s="4">
        <v>2</v>
      </c>
      <c r="MG105" s="4">
        <v>1</v>
      </c>
      <c r="MH105" s="4">
        <v>1</v>
      </c>
      <c r="MI105" s="4">
        <v>2</v>
      </c>
      <c r="MJ105" s="4">
        <v>1</v>
      </c>
      <c r="MK105" s="4">
        <v>1</v>
      </c>
      <c r="ML105" s="4">
        <v>1</v>
      </c>
      <c r="MM105" s="4">
        <v>1</v>
      </c>
      <c r="MN105" s="4">
        <v>2</v>
      </c>
      <c r="MO105" s="4">
        <v>1</v>
      </c>
      <c r="MP105" s="4">
        <v>2</v>
      </c>
      <c r="MQ105" s="4">
        <v>1</v>
      </c>
      <c r="MR105" s="4">
        <v>1</v>
      </c>
      <c r="MS105" s="4">
        <v>1</v>
      </c>
      <c r="MT105" s="4">
        <v>2</v>
      </c>
      <c r="MU105" s="4">
        <v>1</v>
      </c>
      <c r="MV105" s="4">
        <v>2</v>
      </c>
      <c r="MW105" s="4">
        <v>1</v>
      </c>
      <c r="MX105" s="4">
        <v>1</v>
      </c>
      <c r="MY105" s="4">
        <v>1</v>
      </c>
      <c r="MZ105" s="4">
        <v>1</v>
      </c>
      <c r="NA105" s="4">
        <v>1</v>
      </c>
      <c r="NB105" s="4">
        <v>1</v>
      </c>
      <c r="NC105" s="4">
        <v>2</v>
      </c>
      <c r="ND105" s="4">
        <v>2</v>
      </c>
      <c r="NE105" s="4">
        <v>2</v>
      </c>
      <c r="NF105" s="4">
        <v>1</v>
      </c>
      <c r="NG105" s="4">
        <v>1</v>
      </c>
      <c r="NH105" s="4">
        <v>1</v>
      </c>
      <c r="NI105" s="4">
        <v>3</v>
      </c>
      <c r="NJ105" s="4">
        <v>1</v>
      </c>
      <c r="NK105" s="4">
        <v>1</v>
      </c>
      <c r="NL105" s="4">
        <v>2</v>
      </c>
      <c r="NM105" s="4">
        <v>3</v>
      </c>
      <c r="NN105" s="4">
        <v>2</v>
      </c>
      <c r="NO105" s="4">
        <v>2</v>
      </c>
      <c r="NP105" s="4">
        <v>1</v>
      </c>
      <c r="NQ105" s="4">
        <v>1</v>
      </c>
      <c r="NR105" s="4">
        <v>1</v>
      </c>
      <c r="NS105" s="4">
        <v>1</v>
      </c>
      <c r="NT105" s="4">
        <v>1</v>
      </c>
      <c r="NU105" s="4">
        <v>2</v>
      </c>
      <c r="NV105" s="4">
        <v>2</v>
      </c>
      <c r="NW105" s="4">
        <v>1</v>
      </c>
      <c r="NX105" s="4">
        <v>1</v>
      </c>
      <c r="NY105" s="4">
        <v>1</v>
      </c>
      <c r="NZ105" s="4">
        <v>1</v>
      </c>
      <c r="OA105" s="4">
        <v>1</v>
      </c>
      <c r="OB105" s="4">
        <v>1</v>
      </c>
      <c r="OC105" s="4">
        <v>2</v>
      </c>
      <c r="OD105" s="4">
        <v>1</v>
      </c>
      <c r="OE105" s="4">
        <v>1</v>
      </c>
      <c r="OF105" s="4">
        <v>3</v>
      </c>
      <c r="OG105" s="4">
        <v>1</v>
      </c>
      <c r="OH105" s="4">
        <v>1</v>
      </c>
      <c r="OI105" s="4">
        <v>1</v>
      </c>
      <c r="OJ105" s="4">
        <v>2</v>
      </c>
      <c r="OK105" s="4">
        <v>2</v>
      </c>
      <c r="OL105" s="4">
        <v>2</v>
      </c>
      <c r="OM105" s="4">
        <v>1</v>
      </c>
      <c r="ON105" s="4">
        <v>1</v>
      </c>
      <c r="OO105" s="4">
        <v>1</v>
      </c>
      <c r="OP105" s="4">
        <v>1</v>
      </c>
      <c r="OQ105" s="4">
        <v>2</v>
      </c>
      <c r="OR105" s="4">
        <v>1</v>
      </c>
      <c r="OS105" s="4">
        <v>2</v>
      </c>
      <c r="OT105" s="4">
        <v>3</v>
      </c>
      <c r="OU105" s="4">
        <v>3</v>
      </c>
      <c r="OV105" s="4">
        <v>1</v>
      </c>
      <c r="OW105" s="4">
        <v>1</v>
      </c>
      <c r="OX105" s="4">
        <v>1</v>
      </c>
      <c r="OY105" s="4">
        <v>1</v>
      </c>
      <c r="OZ105" s="4">
        <v>1</v>
      </c>
      <c r="PA105" s="4">
        <v>1</v>
      </c>
      <c r="PB105" s="4">
        <v>1</v>
      </c>
      <c r="PC105" s="4">
        <v>2</v>
      </c>
      <c r="PD105" s="4">
        <v>3</v>
      </c>
      <c r="PE105" s="4">
        <v>1</v>
      </c>
      <c r="PF105" s="4">
        <v>2</v>
      </c>
      <c r="PG105" s="4">
        <v>1</v>
      </c>
      <c r="PH105" s="4">
        <v>2</v>
      </c>
      <c r="PI105" s="4">
        <v>3</v>
      </c>
      <c r="PJ105" s="4">
        <v>2</v>
      </c>
      <c r="PK105" s="4">
        <v>2</v>
      </c>
      <c r="PL105" s="4">
        <v>1</v>
      </c>
      <c r="PM105" s="4">
        <v>2</v>
      </c>
      <c r="PN105" s="4">
        <v>1</v>
      </c>
      <c r="PO105" s="4">
        <v>1</v>
      </c>
      <c r="PP105" s="4">
        <v>1</v>
      </c>
      <c r="PQ105" s="4">
        <v>1</v>
      </c>
      <c r="PR105" s="4">
        <v>1</v>
      </c>
      <c r="PS105" s="4">
        <v>1</v>
      </c>
      <c r="PT105" s="4">
        <v>2</v>
      </c>
      <c r="PU105" s="4">
        <v>1</v>
      </c>
      <c r="PV105" s="4">
        <v>1</v>
      </c>
      <c r="PW105" s="4">
        <v>1</v>
      </c>
      <c r="PX105" s="4">
        <v>1</v>
      </c>
      <c r="PY105" s="4">
        <v>1</v>
      </c>
      <c r="PZ105" s="4">
        <v>1</v>
      </c>
      <c r="QA105" s="4">
        <v>1</v>
      </c>
      <c r="QB105" s="4">
        <v>1</v>
      </c>
      <c r="QC105" s="4">
        <v>1</v>
      </c>
      <c r="QD105" s="4">
        <v>1</v>
      </c>
      <c r="QE105" s="4">
        <v>2</v>
      </c>
      <c r="QF105" s="4">
        <v>1</v>
      </c>
      <c r="QG105" s="4">
        <v>1</v>
      </c>
      <c r="QH105" s="4">
        <v>1</v>
      </c>
      <c r="QI105" s="4">
        <v>3</v>
      </c>
      <c r="QJ105" s="4">
        <v>1</v>
      </c>
      <c r="QK105" s="4">
        <v>1</v>
      </c>
      <c r="QL105" s="4">
        <v>1</v>
      </c>
      <c r="QM105" s="4">
        <v>1</v>
      </c>
      <c r="QN105" s="4">
        <v>1</v>
      </c>
      <c r="QO105" s="4">
        <v>1</v>
      </c>
      <c r="QP105" s="4">
        <v>1</v>
      </c>
      <c r="QQ105" s="4">
        <v>2</v>
      </c>
      <c r="QR105" s="4">
        <v>1</v>
      </c>
      <c r="QS105" s="4">
        <v>1</v>
      </c>
      <c r="QT105" s="4">
        <v>2</v>
      </c>
      <c r="QU105" s="4">
        <v>1</v>
      </c>
      <c r="QV105" s="4">
        <v>1</v>
      </c>
      <c r="QW105" s="4">
        <v>1</v>
      </c>
      <c r="QX105" s="4">
        <v>1</v>
      </c>
      <c r="QY105" s="4">
        <v>1</v>
      </c>
      <c r="QZ105" s="4">
        <v>2</v>
      </c>
      <c r="RA105" s="4">
        <v>1</v>
      </c>
      <c r="RB105" s="4">
        <v>1</v>
      </c>
      <c r="RC105" s="4">
        <v>1</v>
      </c>
      <c r="RD105" s="4">
        <v>2</v>
      </c>
      <c r="RE105" s="4">
        <v>2</v>
      </c>
      <c r="RF105" s="4">
        <v>1</v>
      </c>
      <c r="RG105" s="4">
        <v>1</v>
      </c>
      <c r="RH105" s="4">
        <v>1</v>
      </c>
      <c r="RI105" s="4">
        <v>1</v>
      </c>
      <c r="RJ105" s="4">
        <v>2</v>
      </c>
      <c r="RK105" s="4">
        <v>1</v>
      </c>
      <c r="RL105" s="4">
        <v>1</v>
      </c>
      <c r="RM105" s="4">
        <v>2</v>
      </c>
      <c r="RN105" s="4">
        <v>1</v>
      </c>
      <c r="RO105" s="4">
        <v>2</v>
      </c>
      <c r="RP105" s="4">
        <v>1</v>
      </c>
      <c r="RQ105" s="4">
        <v>2</v>
      </c>
      <c r="RR105" s="4">
        <v>1</v>
      </c>
      <c r="RS105" s="4">
        <v>1</v>
      </c>
      <c r="RT105" s="4">
        <v>2</v>
      </c>
      <c r="RU105" s="4">
        <v>1</v>
      </c>
      <c r="RV105" s="4">
        <v>1</v>
      </c>
      <c r="RW105" s="4">
        <v>2</v>
      </c>
      <c r="RX105" s="4">
        <v>1</v>
      </c>
      <c r="RY105" s="4">
        <v>1</v>
      </c>
      <c r="RZ105" s="4">
        <v>2</v>
      </c>
      <c r="SA105" s="4">
        <v>1</v>
      </c>
      <c r="SB105" s="4">
        <v>1</v>
      </c>
      <c r="SC105" s="4">
        <v>1</v>
      </c>
      <c r="SD105" s="4">
        <v>1</v>
      </c>
      <c r="SE105" s="4">
        <v>2</v>
      </c>
      <c r="SF105" s="4">
        <v>2</v>
      </c>
      <c r="SG105" s="4">
        <v>1</v>
      </c>
      <c r="SH105" s="4">
        <v>1</v>
      </c>
      <c r="SI105" s="4">
        <v>1</v>
      </c>
      <c r="SJ105" s="4">
        <v>1</v>
      </c>
      <c r="SK105" s="4">
        <v>1</v>
      </c>
      <c r="SL105" s="4">
        <v>2</v>
      </c>
      <c r="SM105" s="4">
        <v>1</v>
      </c>
      <c r="SN105" s="4">
        <v>1</v>
      </c>
      <c r="SO105" s="4">
        <v>1</v>
      </c>
      <c r="SP105" s="4">
        <v>1</v>
      </c>
      <c r="SQ105" s="4">
        <v>1</v>
      </c>
      <c r="SR105" s="4">
        <v>1</v>
      </c>
      <c r="SS105" s="4">
        <v>1</v>
      </c>
      <c r="ST105" s="4">
        <v>1</v>
      </c>
      <c r="SU105" s="4">
        <v>2</v>
      </c>
      <c r="SV105" s="4">
        <v>1</v>
      </c>
      <c r="SW105" s="4">
        <v>1</v>
      </c>
      <c r="SX105" s="4">
        <v>1</v>
      </c>
      <c r="SY105" s="4">
        <v>1</v>
      </c>
      <c r="SZ105" s="4">
        <v>1</v>
      </c>
      <c r="TA105" s="4">
        <v>1</v>
      </c>
      <c r="TB105" s="4">
        <v>2</v>
      </c>
      <c r="TC105" s="4">
        <v>1</v>
      </c>
      <c r="TD105" s="4">
        <v>2</v>
      </c>
      <c r="TE105" s="4">
        <v>1</v>
      </c>
      <c r="TF105" s="4">
        <v>1</v>
      </c>
      <c r="TG105" s="4">
        <v>1</v>
      </c>
      <c r="TH105" s="4">
        <v>1</v>
      </c>
      <c r="TI105" s="4">
        <v>2</v>
      </c>
      <c r="TJ105" s="4">
        <v>1</v>
      </c>
      <c r="TK105" s="4">
        <v>1</v>
      </c>
      <c r="TL105" s="4">
        <v>2</v>
      </c>
      <c r="TM105" s="4">
        <v>1</v>
      </c>
      <c r="TN105" s="4">
        <v>1</v>
      </c>
      <c r="TO105" s="4">
        <v>1</v>
      </c>
      <c r="TP105" s="4">
        <v>1</v>
      </c>
      <c r="TQ105" s="4">
        <v>1</v>
      </c>
      <c r="TR105" s="4">
        <v>1</v>
      </c>
      <c r="TS105" s="4">
        <v>1</v>
      </c>
      <c r="TT105" s="4">
        <v>1</v>
      </c>
      <c r="TU105" s="4">
        <v>1</v>
      </c>
      <c r="TV105" s="4">
        <v>2</v>
      </c>
      <c r="TW105" s="4">
        <v>2</v>
      </c>
      <c r="TX105" s="4">
        <v>2</v>
      </c>
      <c r="TY105" s="4">
        <v>1</v>
      </c>
      <c r="TZ105" s="4">
        <v>1</v>
      </c>
      <c r="UA105" s="4">
        <v>1</v>
      </c>
      <c r="UB105" s="4">
        <v>1</v>
      </c>
      <c r="UC105" s="4">
        <v>2</v>
      </c>
      <c r="UD105" s="4">
        <v>2</v>
      </c>
      <c r="UE105" s="4">
        <v>2</v>
      </c>
      <c r="UF105" s="4">
        <v>1</v>
      </c>
      <c r="UG105" s="4">
        <v>1</v>
      </c>
      <c r="UH105" s="4">
        <v>2</v>
      </c>
      <c r="UI105" s="4">
        <v>1</v>
      </c>
      <c r="UJ105" s="4">
        <v>689</v>
      </c>
    </row>
    <row r="106" spans="1:556">
      <c r="A106" s="3">
        <v>63</v>
      </c>
      <c r="B106">
        <v>3</v>
      </c>
      <c r="H106" s="3">
        <v>61</v>
      </c>
      <c r="I106">
        <v>7</v>
      </c>
      <c r="L106" s="3">
        <v>75</v>
      </c>
      <c r="M106">
        <v>10</v>
      </c>
    </row>
    <row r="107" spans="1:556">
      <c r="A107" s="3">
        <v>64</v>
      </c>
      <c r="B107">
        <v>5</v>
      </c>
      <c r="H107" s="3">
        <v>62</v>
      </c>
      <c r="I107">
        <v>7</v>
      </c>
      <c r="L107" s="3">
        <v>76</v>
      </c>
      <c r="M107">
        <v>12</v>
      </c>
    </row>
    <row r="108" spans="1:556">
      <c r="A108" s="3">
        <v>65</v>
      </c>
      <c r="B108">
        <v>2</v>
      </c>
      <c r="H108" s="3">
        <v>63</v>
      </c>
      <c r="I108">
        <v>9</v>
      </c>
      <c r="L108" s="3">
        <v>77</v>
      </c>
      <c r="M108">
        <v>6</v>
      </c>
    </row>
    <row r="109" spans="1:556">
      <c r="A109" s="3">
        <v>66</v>
      </c>
      <c r="B109">
        <v>4.5</v>
      </c>
      <c r="H109" s="3">
        <v>64</v>
      </c>
      <c r="I109">
        <v>10</v>
      </c>
      <c r="L109" s="3">
        <v>78</v>
      </c>
      <c r="M109">
        <v>4</v>
      </c>
    </row>
    <row r="110" spans="1:556">
      <c r="A110" s="3">
        <v>67</v>
      </c>
      <c r="B110">
        <v>3</v>
      </c>
      <c r="H110" s="3">
        <v>65</v>
      </c>
      <c r="I110">
        <v>8</v>
      </c>
      <c r="L110" s="3">
        <v>79</v>
      </c>
      <c r="M110">
        <v>9</v>
      </c>
    </row>
    <row r="111" spans="1:556">
      <c r="A111" s="3">
        <v>68</v>
      </c>
      <c r="B111">
        <v>5</v>
      </c>
      <c r="H111" s="3">
        <v>66</v>
      </c>
      <c r="I111">
        <v>6</v>
      </c>
      <c r="L111" s="3">
        <v>80</v>
      </c>
      <c r="M111">
        <v>8</v>
      </c>
    </row>
    <row r="112" spans="1:556">
      <c r="A112" s="3">
        <v>69</v>
      </c>
      <c r="B112">
        <v>5</v>
      </c>
      <c r="H112" s="3">
        <v>67</v>
      </c>
      <c r="I112">
        <v>6</v>
      </c>
      <c r="L112" s="3">
        <v>81</v>
      </c>
      <c r="M112">
        <v>10</v>
      </c>
    </row>
    <row r="113" spans="1:13">
      <c r="A113" s="3">
        <v>70</v>
      </c>
      <c r="B113">
        <v>3</v>
      </c>
      <c r="H113" s="3">
        <v>68</v>
      </c>
      <c r="I113">
        <v>6</v>
      </c>
      <c r="L113" s="3">
        <v>82</v>
      </c>
      <c r="M113">
        <v>11</v>
      </c>
    </row>
    <row r="114" spans="1:13">
      <c r="A114" s="3">
        <v>71</v>
      </c>
      <c r="B114">
        <v>2</v>
      </c>
      <c r="H114" s="3">
        <v>69</v>
      </c>
      <c r="I114">
        <v>8</v>
      </c>
      <c r="L114" s="3">
        <v>83</v>
      </c>
      <c r="M114">
        <v>2</v>
      </c>
    </row>
    <row r="115" spans="1:13">
      <c r="A115" s="3">
        <v>72</v>
      </c>
      <c r="B115">
        <v>5</v>
      </c>
      <c r="H115" s="3">
        <v>70</v>
      </c>
      <c r="I115">
        <v>6</v>
      </c>
      <c r="L115" s="3">
        <v>84</v>
      </c>
      <c r="M115">
        <v>0</v>
      </c>
    </row>
    <row r="116" spans="1:13">
      <c r="A116" s="3">
        <v>73</v>
      </c>
      <c r="B116">
        <v>3</v>
      </c>
      <c r="H116" s="3">
        <v>71</v>
      </c>
      <c r="I116">
        <v>8</v>
      </c>
      <c r="L116" s="3">
        <v>85</v>
      </c>
      <c r="M116">
        <v>2</v>
      </c>
    </row>
    <row r="117" spans="1:13">
      <c r="A117" s="3">
        <v>74</v>
      </c>
      <c r="B117">
        <v>4.5</v>
      </c>
      <c r="H117" s="3">
        <v>72</v>
      </c>
      <c r="I117">
        <v>9</v>
      </c>
      <c r="L117" s="3">
        <v>86</v>
      </c>
      <c r="M117">
        <v>3</v>
      </c>
    </row>
    <row r="118" spans="1:13">
      <c r="A118" s="3">
        <v>75</v>
      </c>
      <c r="B118">
        <v>3</v>
      </c>
      <c r="H118" s="3">
        <v>73</v>
      </c>
      <c r="I118">
        <v>6</v>
      </c>
      <c r="L118" s="3">
        <v>87</v>
      </c>
      <c r="M118">
        <v>5</v>
      </c>
    </row>
    <row r="119" spans="1:13">
      <c r="A119" s="3">
        <v>76</v>
      </c>
      <c r="B119">
        <v>3</v>
      </c>
      <c r="H119" s="3">
        <v>74</v>
      </c>
      <c r="I119">
        <v>7</v>
      </c>
      <c r="L119" s="3">
        <v>88</v>
      </c>
      <c r="M119">
        <v>3</v>
      </c>
    </row>
    <row r="120" spans="1:13">
      <c r="A120" s="3">
        <v>77</v>
      </c>
      <c r="B120">
        <v>3</v>
      </c>
      <c r="H120" s="3">
        <v>75</v>
      </c>
      <c r="I120">
        <v>5</v>
      </c>
      <c r="L120" s="3">
        <v>89</v>
      </c>
      <c r="M120">
        <v>76</v>
      </c>
    </row>
    <row r="121" spans="1:13">
      <c r="A121" s="3">
        <v>78</v>
      </c>
      <c r="B121">
        <v>1</v>
      </c>
      <c r="H121" s="3">
        <v>76</v>
      </c>
      <c r="I121">
        <v>6</v>
      </c>
      <c r="L121" s="3">
        <v>90</v>
      </c>
      <c r="M121">
        <v>4</v>
      </c>
    </row>
    <row r="122" spans="1:13">
      <c r="A122" s="3">
        <v>79</v>
      </c>
      <c r="B122">
        <v>4.5</v>
      </c>
      <c r="H122" s="3">
        <v>77</v>
      </c>
      <c r="I122">
        <v>8</v>
      </c>
      <c r="L122" s="3">
        <v>91</v>
      </c>
      <c r="M122">
        <v>9</v>
      </c>
    </row>
    <row r="123" spans="1:13">
      <c r="A123" s="3">
        <v>80</v>
      </c>
      <c r="B123">
        <v>5</v>
      </c>
      <c r="H123" s="3">
        <v>78</v>
      </c>
      <c r="I123">
        <v>6</v>
      </c>
      <c r="L123" s="3">
        <v>92</v>
      </c>
      <c r="M123">
        <v>7</v>
      </c>
    </row>
    <row r="124" spans="1:13">
      <c r="A124" s="3">
        <v>81</v>
      </c>
      <c r="B124">
        <v>5</v>
      </c>
      <c r="H124" s="3">
        <v>79</v>
      </c>
      <c r="I124">
        <v>7</v>
      </c>
      <c r="L124" s="3">
        <v>93</v>
      </c>
      <c r="M124">
        <v>46</v>
      </c>
    </row>
    <row r="125" spans="1:13">
      <c r="A125" s="3">
        <v>82</v>
      </c>
      <c r="B125">
        <v>4.5</v>
      </c>
      <c r="H125" s="3">
        <v>80</v>
      </c>
      <c r="I125">
        <v>7</v>
      </c>
      <c r="L125" s="3">
        <v>94</v>
      </c>
      <c r="M125">
        <v>3</v>
      </c>
    </row>
    <row r="126" spans="1:13">
      <c r="A126" s="3">
        <v>83</v>
      </c>
      <c r="B126">
        <v>3</v>
      </c>
      <c r="H126" s="3">
        <v>81</v>
      </c>
      <c r="I126">
        <v>9</v>
      </c>
      <c r="L126" s="3">
        <v>95</v>
      </c>
      <c r="M126">
        <v>9</v>
      </c>
    </row>
    <row r="127" spans="1:13">
      <c r="A127" s="3">
        <v>84</v>
      </c>
      <c r="B127">
        <v>3</v>
      </c>
      <c r="H127" s="3">
        <v>82</v>
      </c>
      <c r="I127">
        <v>10</v>
      </c>
      <c r="L127" s="3">
        <v>96</v>
      </c>
      <c r="M127">
        <v>9</v>
      </c>
    </row>
    <row r="128" spans="1:13">
      <c r="A128" s="3">
        <v>85</v>
      </c>
      <c r="B128">
        <v>5</v>
      </c>
      <c r="H128" s="3">
        <v>83</v>
      </c>
      <c r="I128">
        <v>5</v>
      </c>
      <c r="L128" s="3">
        <v>97</v>
      </c>
      <c r="M128">
        <v>10</v>
      </c>
    </row>
    <row r="129" spans="1:13">
      <c r="A129" s="3">
        <v>86</v>
      </c>
      <c r="B129">
        <v>3</v>
      </c>
      <c r="H129" s="3">
        <v>84</v>
      </c>
      <c r="I129">
        <v>8</v>
      </c>
      <c r="L129" s="3">
        <v>98</v>
      </c>
      <c r="M129">
        <v>2</v>
      </c>
    </row>
    <row r="130" spans="1:13">
      <c r="A130" s="3">
        <v>87</v>
      </c>
      <c r="B130">
        <v>5</v>
      </c>
      <c r="H130" s="3">
        <v>85</v>
      </c>
      <c r="I130">
        <v>8</v>
      </c>
      <c r="L130" s="3">
        <v>99</v>
      </c>
      <c r="M130">
        <v>9</v>
      </c>
    </row>
    <row r="131" spans="1:13">
      <c r="A131" s="3">
        <v>88</v>
      </c>
      <c r="B131">
        <v>5</v>
      </c>
      <c r="H131" s="3">
        <v>86</v>
      </c>
      <c r="I131">
        <v>7</v>
      </c>
      <c r="L131" s="3">
        <v>100</v>
      </c>
      <c r="M131">
        <v>10</v>
      </c>
    </row>
    <row r="132" spans="1:13">
      <c r="A132" s="3">
        <v>89</v>
      </c>
      <c r="B132">
        <v>2</v>
      </c>
      <c r="H132" s="3">
        <v>87</v>
      </c>
      <c r="I132">
        <v>7</v>
      </c>
      <c r="L132" s="3">
        <v>101</v>
      </c>
      <c r="M132">
        <v>99</v>
      </c>
    </row>
    <row r="133" spans="1:13">
      <c r="A133" s="3">
        <v>90</v>
      </c>
      <c r="B133">
        <v>1</v>
      </c>
      <c r="H133" s="3">
        <v>88</v>
      </c>
      <c r="I133">
        <v>8</v>
      </c>
      <c r="L133" s="3">
        <v>102</v>
      </c>
      <c r="M133">
        <v>8</v>
      </c>
    </row>
    <row r="134" spans="1:13">
      <c r="A134" s="3">
        <v>91</v>
      </c>
      <c r="B134">
        <v>5</v>
      </c>
      <c r="H134" s="3">
        <v>89</v>
      </c>
      <c r="I134">
        <v>6</v>
      </c>
      <c r="L134" s="3">
        <v>103</v>
      </c>
      <c r="M134">
        <v>1</v>
      </c>
    </row>
    <row r="135" spans="1:13">
      <c r="A135" s="3">
        <v>92</v>
      </c>
      <c r="B135">
        <v>3</v>
      </c>
      <c r="H135" s="3">
        <v>90</v>
      </c>
      <c r="I135">
        <v>7</v>
      </c>
      <c r="L135" s="3">
        <v>104</v>
      </c>
      <c r="M135">
        <v>0</v>
      </c>
    </row>
    <row r="136" spans="1:13">
      <c r="A136" s="3">
        <v>93</v>
      </c>
      <c r="B136">
        <v>4.5</v>
      </c>
      <c r="H136" s="3">
        <v>91</v>
      </c>
      <c r="I136">
        <v>6</v>
      </c>
      <c r="L136" s="3">
        <v>105</v>
      </c>
      <c r="M136">
        <v>10</v>
      </c>
    </row>
    <row r="137" spans="1:13">
      <c r="A137" s="3">
        <v>94</v>
      </c>
      <c r="B137">
        <v>3</v>
      </c>
      <c r="H137" s="3">
        <v>92</v>
      </c>
      <c r="I137">
        <v>7</v>
      </c>
      <c r="L137" s="3">
        <v>106</v>
      </c>
      <c r="M137">
        <v>10</v>
      </c>
    </row>
    <row r="138" spans="1:13">
      <c r="A138" s="3">
        <v>95</v>
      </c>
      <c r="B138">
        <v>4.5</v>
      </c>
      <c r="H138" s="3">
        <v>93</v>
      </c>
      <c r="I138">
        <v>7</v>
      </c>
      <c r="L138" s="3">
        <v>107</v>
      </c>
      <c r="M138">
        <v>3</v>
      </c>
    </row>
    <row r="139" spans="1:13">
      <c r="A139" s="3">
        <v>96</v>
      </c>
      <c r="B139">
        <v>3</v>
      </c>
      <c r="H139" s="3">
        <v>94</v>
      </c>
      <c r="I139">
        <v>6</v>
      </c>
      <c r="L139" s="3">
        <v>108</v>
      </c>
      <c r="M139">
        <v>5</v>
      </c>
    </row>
    <row r="140" spans="1:13">
      <c r="A140" s="3">
        <v>97</v>
      </c>
      <c r="B140">
        <v>5</v>
      </c>
      <c r="H140" s="3">
        <v>95</v>
      </c>
      <c r="I140">
        <v>5</v>
      </c>
      <c r="L140" s="3">
        <v>109</v>
      </c>
      <c r="M140">
        <v>16</v>
      </c>
    </row>
    <row r="141" spans="1:13">
      <c r="A141" s="3">
        <v>98</v>
      </c>
      <c r="B141">
        <v>5</v>
      </c>
      <c r="H141" s="3">
        <v>96</v>
      </c>
      <c r="I141">
        <v>9</v>
      </c>
      <c r="L141" s="3">
        <v>110</v>
      </c>
      <c r="M141">
        <v>4</v>
      </c>
    </row>
    <row r="142" spans="1:13">
      <c r="A142" s="3">
        <v>99</v>
      </c>
      <c r="B142">
        <v>3</v>
      </c>
      <c r="H142" s="3">
        <v>97</v>
      </c>
      <c r="I142">
        <v>8</v>
      </c>
      <c r="L142" s="3">
        <v>111</v>
      </c>
      <c r="M142">
        <v>2</v>
      </c>
    </row>
    <row r="143" spans="1:13">
      <c r="A143" s="3">
        <v>100</v>
      </c>
      <c r="B143">
        <v>5</v>
      </c>
      <c r="H143" s="3">
        <v>98</v>
      </c>
      <c r="I143">
        <v>9</v>
      </c>
      <c r="L143" s="3">
        <v>112</v>
      </c>
      <c r="M143">
        <v>3</v>
      </c>
    </row>
    <row r="144" spans="1:13">
      <c r="A144" s="3">
        <v>101</v>
      </c>
      <c r="B144">
        <v>4.5</v>
      </c>
      <c r="H144" s="3">
        <v>99</v>
      </c>
      <c r="I144">
        <v>7</v>
      </c>
      <c r="L144" s="3">
        <v>113</v>
      </c>
      <c r="M144">
        <v>5</v>
      </c>
    </row>
    <row r="145" spans="1:13">
      <c r="A145" s="3">
        <v>102</v>
      </c>
      <c r="B145">
        <v>3</v>
      </c>
      <c r="H145" s="3">
        <v>100</v>
      </c>
      <c r="I145">
        <v>7</v>
      </c>
      <c r="L145" s="3">
        <v>114</v>
      </c>
      <c r="M145">
        <v>1</v>
      </c>
    </row>
    <row r="146" spans="1:13">
      <c r="A146" s="3">
        <v>103</v>
      </c>
      <c r="B146">
        <v>5</v>
      </c>
      <c r="H146" s="3">
        <v>101</v>
      </c>
      <c r="I146">
        <v>6</v>
      </c>
      <c r="L146" s="3">
        <v>115</v>
      </c>
      <c r="M146">
        <v>4</v>
      </c>
    </row>
    <row r="147" spans="1:13">
      <c r="A147" s="3">
        <v>104</v>
      </c>
      <c r="B147">
        <v>2</v>
      </c>
      <c r="H147" s="3">
        <v>102</v>
      </c>
      <c r="I147">
        <v>6</v>
      </c>
      <c r="L147" s="3">
        <v>116</v>
      </c>
      <c r="M147">
        <v>7</v>
      </c>
    </row>
    <row r="148" spans="1:13">
      <c r="A148" s="3">
        <v>105</v>
      </c>
      <c r="B148">
        <v>5</v>
      </c>
      <c r="H148" s="3">
        <v>103</v>
      </c>
      <c r="I148">
        <v>6</v>
      </c>
      <c r="L148" s="3">
        <v>117</v>
      </c>
      <c r="M148">
        <v>4</v>
      </c>
    </row>
    <row r="149" spans="1:13">
      <c r="A149" s="3">
        <v>106</v>
      </c>
      <c r="B149">
        <v>3</v>
      </c>
      <c r="H149" s="3">
        <v>104</v>
      </c>
      <c r="I149">
        <v>6</v>
      </c>
      <c r="L149" s="3">
        <v>118</v>
      </c>
      <c r="M149">
        <v>2</v>
      </c>
    </row>
    <row r="150" spans="1:13">
      <c r="A150" s="3">
        <v>107</v>
      </c>
      <c r="B150">
        <v>3</v>
      </c>
      <c r="H150" s="3">
        <v>105</v>
      </c>
      <c r="I150">
        <v>7</v>
      </c>
      <c r="L150" s="3">
        <v>119</v>
      </c>
      <c r="M150">
        <v>2</v>
      </c>
    </row>
    <row r="151" spans="1:13">
      <c r="A151" s="3">
        <v>108</v>
      </c>
      <c r="B151">
        <v>5</v>
      </c>
      <c r="H151" s="3">
        <v>106</v>
      </c>
      <c r="I151">
        <v>6</v>
      </c>
      <c r="L151" s="3">
        <v>120</v>
      </c>
      <c r="M151">
        <v>7</v>
      </c>
    </row>
    <row r="152" spans="1:13">
      <c r="A152" s="3">
        <v>109</v>
      </c>
      <c r="B152">
        <v>3</v>
      </c>
      <c r="H152" s="3">
        <v>107</v>
      </c>
      <c r="I152">
        <v>10</v>
      </c>
      <c r="L152" s="3">
        <v>121</v>
      </c>
      <c r="M152">
        <v>3</v>
      </c>
    </row>
    <row r="153" spans="1:13">
      <c r="A153" s="3">
        <v>110</v>
      </c>
      <c r="B153">
        <v>4.5</v>
      </c>
      <c r="H153" s="3">
        <v>108</v>
      </c>
      <c r="I153">
        <v>7</v>
      </c>
      <c r="L153" s="3">
        <v>122</v>
      </c>
      <c r="M153">
        <v>9</v>
      </c>
    </row>
    <row r="154" spans="1:13">
      <c r="A154" s="3">
        <v>111</v>
      </c>
      <c r="B154">
        <v>5</v>
      </c>
      <c r="H154" s="3">
        <v>109</v>
      </c>
      <c r="I154">
        <v>5</v>
      </c>
      <c r="L154" s="3">
        <v>123</v>
      </c>
      <c r="M154">
        <v>82</v>
      </c>
    </row>
    <row r="155" spans="1:13">
      <c r="A155" s="3">
        <v>112</v>
      </c>
      <c r="B155">
        <v>3</v>
      </c>
      <c r="H155" s="3">
        <v>110</v>
      </c>
      <c r="I155">
        <v>7</v>
      </c>
      <c r="L155" s="3">
        <v>124</v>
      </c>
      <c r="M155">
        <v>0</v>
      </c>
    </row>
    <row r="156" spans="1:13">
      <c r="A156" s="3">
        <v>113</v>
      </c>
      <c r="B156">
        <v>2</v>
      </c>
      <c r="H156" s="3">
        <v>111</v>
      </c>
      <c r="I156">
        <v>10</v>
      </c>
      <c r="L156" s="3">
        <v>125</v>
      </c>
      <c r="M156">
        <v>14</v>
      </c>
    </row>
    <row r="157" spans="1:13">
      <c r="A157" s="3">
        <v>114</v>
      </c>
      <c r="B157">
        <v>5</v>
      </c>
      <c r="H157" s="3">
        <v>112</v>
      </c>
      <c r="I157">
        <v>6</v>
      </c>
      <c r="L157" s="3">
        <v>126</v>
      </c>
      <c r="M157">
        <v>9</v>
      </c>
    </row>
    <row r="158" spans="1:13">
      <c r="A158" s="3">
        <v>115</v>
      </c>
      <c r="B158">
        <v>4.5</v>
      </c>
      <c r="H158" s="3">
        <v>113</v>
      </c>
      <c r="I158">
        <v>9</v>
      </c>
      <c r="L158" s="3">
        <v>127</v>
      </c>
      <c r="M158">
        <v>4</v>
      </c>
    </row>
    <row r="159" spans="1:13">
      <c r="A159" s="3">
        <v>116</v>
      </c>
      <c r="B159">
        <v>5</v>
      </c>
      <c r="H159" s="3">
        <v>114</v>
      </c>
      <c r="I159">
        <v>9</v>
      </c>
      <c r="L159" s="3">
        <v>128</v>
      </c>
      <c r="M159">
        <v>10</v>
      </c>
    </row>
    <row r="160" spans="1:13">
      <c r="A160" s="3">
        <v>117</v>
      </c>
      <c r="B160">
        <v>4.5</v>
      </c>
      <c r="H160" s="3">
        <v>115</v>
      </c>
      <c r="I160">
        <v>7</v>
      </c>
      <c r="L160" s="3">
        <v>129</v>
      </c>
      <c r="M160">
        <v>74</v>
      </c>
    </row>
    <row r="161" spans="1:13">
      <c r="A161" s="3">
        <v>118</v>
      </c>
      <c r="B161">
        <v>4.5</v>
      </c>
      <c r="H161" s="3">
        <v>116</v>
      </c>
      <c r="I161">
        <v>7</v>
      </c>
      <c r="L161" s="3">
        <v>130</v>
      </c>
      <c r="M161">
        <v>2</v>
      </c>
    </row>
    <row r="162" spans="1:13">
      <c r="A162" s="3">
        <v>119</v>
      </c>
      <c r="B162">
        <v>5</v>
      </c>
      <c r="H162" s="3">
        <v>117</v>
      </c>
      <c r="I162">
        <v>6</v>
      </c>
      <c r="L162" s="3">
        <v>131</v>
      </c>
      <c r="M162">
        <v>1</v>
      </c>
    </row>
    <row r="163" spans="1:13">
      <c r="A163" s="3">
        <v>120</v>
      </c>
      <c r="B163">
        <v>3</v>
      </c>
      <c r="H163" s="3">
        <v>118</v>
      </c>
      <c r="I163">
        <v>8</v>
      </c>
      <c r="L163" s="3">
        <v>132</v>
      </c>
      <c r="M163">
        <v>1</v>
      </c>
    </row>
    <row r="164" spans="1:13">
      <c r="A164" s="3">
        <v>121</v>
      </c>
      <c r="B164">
        <v>1</v>
      </c>
      <c r="H164" s="3">
        <v>119</v>
      </c>
      <c r="I164">
        <v>7</v>
      </c>
      <c r="L164" s="3">
        <v>133</v>
      </c>
      <c r="M164">
        <v>10</v>
      </c>
    </row>
    <row r="165" spans="1:13">
      <c r="A165" s="3">
        <v>122</v>
      </c>
      <c r="B165">
        <v>4.5</v>
      </c>
      <c r="H165" s="3">
        <v>120</v>
      </c>
      <c r="I165">
        <v>9</v>
      </c>
      <c r="L165" s="3">
        <v>134</v>
      </c>
      <c r="M165">
        <v>3</v>
      </c>
    </row>
    <row r="166" spans="1:13">
      <c r="A166" s="3">
        <v>123</v>
      </c>
      <c r="B166">
        <v>5</v>
      </c>
      <c r="H166" s="3">
        <v>121</v>
      </c>
      <c r="I166">
        <v>6</v>
      </c>
      <c r="L166" s="3">
        <v>135</v>
      </c>
      <c r="M166">
        <v>7</v>
      </c>
    </row>
    <row r="167" spans="1:13">
      <c r="A167" s="3">
        <v>124</v>
      </c>
      <c r="B167">
        <v>3</v>
      </c>
      <c r="H167" s="3">
        <v>122</v>
      </c>
      <c r="I167">
        <v>7</v>
      </c>
      <c r="L167" s="3">
        <v>136</v>
      </c>
      <c r="M167">
        <v>6</v>
      </c>
    </row>
    <row r="168" spans="1:13">
      <c r="A168" s="3">
        <v>125</v>
      </c>
      <c r="B168">
        <v>3</v>
      </c>
      <c r="H168" s="3">
        <v>123</v>
      </c>
      <c r="I168">
        <v>5</v>
      </c>
      <c r="L168" s="3">
        <v>137</v>
      </c>
      <c r="M168">
        <v>12</v>
      </c>
    </row>
    <row r="169" spans="1:13">
      <c r="A169" s="3">
        <v>126</v>
      </c>
      <c r="B169">
        <v>3</v>
      </c>
      <c r="H169" s="3">
        <v>124</v>
      </c>
      <c r="I169">
        <v>8</v>
      </c>
      <c r="L169" s="3">
        <v>138</v>
      </c>
      <c r="M169">
        <v>15</v>
      </c>
    </row>
    <row r="170" spans="1:13">
      <c r="A170" s="3">
        <v>127</v>
      </c>
      <c r="B170">
        <v>3</v>
      </c>
      <c r="H170" s="3">
        <v>125</v>
      </c>
      <c r="I170">
        <v>9</v>
      </c>
      <c r="L170" s="3">
        <v>139</v>
      </c>
      <c r="M170">
        <v>0</v>
      </c>
    </row>
    <row r="171" spans="1:13">
      <c r="A171" s="3">
        <v>128</v>
      </c>
      <c r="B171">
        <v>2</v>
      </c>
      <c r="H171" s="3">
        <v>126</v>
      </c>
      <c r="I171">
        <v>6</v>
      </c>
      <c r="L171" s="3">
        <v>140</v>
      </c>
      <c r="M171">
        <v>0</v>
      </c>
    </row>
    <row r="172" spans="1:13">
      <c r="A172" s="3">
        <v>129</v>
      </c>
      <c r="B172">
        <v>4.5</v>
      </c>
      <c r="H172" s="3">
        <v>127</v>
      </c>
      <c r="I172">
        <v>9</v>
      </c>
      <c r="L172" s="3">
        <v>141</v>
      </c>
      <c r="M172">
        <v>0</v>
      </c>
    </row>
    <row r="173" spans="1:13">
      <c r="A173" s="3">
        <v>130</v>
      </c>
      <c r="B173">
        <v>3</v>
      </c>
      <c r="H173" s="3">
        <v>128</v>
      </c>
      <c r="I173">
        <v>8</v>
      </c>
      <c r="L173" s="3">
        <v>142</v>
      </c>
      <c r="M173">
        <v>2</v>
      </c>
    </row>
    <row r="174" spans="1:13">
      <c r="A174" s="3">
        <v>131</v>
      </c>
      <c r="B174">
        <v>2</v>
      </c>
      <c r="H174" s="3">
        <v>129</v>
      </c>
      <c r="I174">
        <v>6</v>
      </c>
      <c r="L174" s="3">
        <v>143</v>
      </c>
      <c r="M174">
        <v>8</v>
      </c>
    </row>
    <row r="175" spans="1:13">
      <c r="A175" s="3">
        <v>132</v>
      </c>
      <c r="B175">
        <v>3</v>
      </c>
      <c r="H175" s="3">
        <v>130</v>
      </c>
      <c r="I175">
        <v>7</v>
      </c>
      <c r="L175" s="3">
        <v>144</v>
      </c>
      <c r="M175">
        <v>6</v>
      </c>
    </row>
    <row r="176" spans="1:13">
      <c r="A176" s="3">
        <v>133</v>
      </c>
      <c r="B176">
        <v>5</v>
      </c>
      <c r="H176" s="3">
        <v>131</v>
      </c>
      <c r="I176">
        <v>6</v>
      </c>
      <c r="L176" s="3">
        <v>145</v>
      </c>
      <c r="M176">
        <v>1</v>
      </c>
    </row>
    <row r="177" spans="1:13">
      <c r="A177" s="3">
        <v>134</v>
      </c>
      <c r="B177">
        <v>1</v>
      </c>
      <c r="H177" s="3">
        <v>132</v>
      </c>
      <c r="I177">
        <v>9</v>
      </c>
      <c r="L177" s="3">
        <v>146</v>
      </c>
      <c r="M177">
        <v>3</v>
      </c>
    </row>
    <row r="178" spans="1:13">
      <c r="A178" s="3">
        <v>135</v>
      </c>
      <c r="B178">
        <v>4.5</v>
      </c>
      <c r="H178" s="3">
        <v>133</v>
      </c>
      <c r="I178">
        <v>8</v>
      </c>
      <c r="L178" s="3">
        <v>147</v>
      </c>
      <c r="M178">
        <v>8</v>
      </c>
    </row>
    <row r="179" spans="1:13">
      <c r="A179" s="3">
        <v>136</v>
      </c>
      <c r="B179">
        <v>5</v>
      </c>
      <c r="H179" s="3">
        <v>134</v>
      </c>
      <c r="I179">
        <v>8</v>
      </c>
      <c r="L179" s="3">
        <v>148</v>
      </c>
      <c r="M179">
        <v>2</v>
      </c>
    </row>
    <row r="180" spans="1:13">
      <c r="A180" s="3">
        <v>137</v>
      </c>
      <c r="B180">
        <v>3</v>
      </c>
      <c r="H180" s="3">
        <v>135</v>
      </c>
      <c r="I180">
        <v>8</v>
      </c>
      <c r="L180" s="3">
        <v>149</v>
      </c>
      <c r="M180">
        <v>2</v>
      </c>
    </row>
    <row r="181" spans="1:13">
      <c r="A181" s="3">
        <v>138</v>
      </c>
      <c r="B181">
        <v>3</v>
      </c>
      <c r="H181" s="3">
        <v>136</v>
      </c>
      <c r="I181">
        <v>6</v>
      </c>
      <c r="L181" s="3">
        <v>150</v>
      </c>
      <c r="M181">
        <v>1</v>
      </c>
    </row>
    <row r="182" spans="1:13">
      <c r="A182" s="3">
        <v>139</v>
      </c>
      <c r="B182">
        <v>1</v>
      </c>
      <c r="H182" s="3">
        <v>137</v>
      </c>
      <c r="I182">
        <v>6</v>
      </c>
      <c r="L182" s="3">
        <v>151</v>
      </c>
      <c r="M182">
        <v>23</v>
      </c>
    </row>
    <row r="183" spans="1:13">
      <c r="A183" s="3">
        <v>140</v>
      </c>
      <c r="B183">
        <v>5</v>
      </c>
      <c r="H183" s="3">
        <v>138</v>
      </c>
      <c r="I183">
        <v>6</v>
      </c>
      <c r="L183" s="3">
        <v>152</v>
      </c>
      <c r="M183">
        <v>54</v>
      </c>
    </row>
    <row r="184" spans="1:13">
      <c r="A184" s="3">
        <v>141</v>
      </c>
      <c r="B184">
        <v>3</v>
      </c>
      <c r="H184" s="3">
        <v>139</v>
      </c>
      <c r="I184">
        <v>8</v>
      </c>
      <c r="L184" s="3">
        <v>153</v>
      </c>
      <c r="M184">
        <v>3</v>
      </c>
    </row>
    <row r="185" spans="1:13">
      <c r="A185" s="3">
        <v>142</v>
      </c>
      <c r="B185">
        <v>5</v>
      </c>
      <c r="H185" s="3">
        <v>140</v>
      </c>
      <c r="I185">
        <v>7</v>
      </c>
      <c r="L185" s="3">
        <v>154</v>
      </c>
      <c r="M185">
        <v>0</v>
      </c>
    </row>
    <row r="186" spans="1:13">
      <c r="A186" s="3">
        <v>143</v>
      </c>
      <c r="B186">
        <v>2</v>
      </c>
      <c r="H186" s="3">
        <v>141</v>
      </c>
      <c r="I186">
        <v>6</v>
      </c>
      <c r="L186" s="3">
        <v>155</v>
      </c>
      <c r="M186">
        <v>8</v>
      </c>
    </row>
    <row r="187" spans="1:13">
      <c r="A187" s="3">
        <v>144</v>
      </c>
      <c r="B187">
        <v>3</v>
      </c>
      <c r="H187" s="3">
        <v>142</v>
      </c>
      <c r="I187">
        <v>5</v>
      </c>
      <c r="L187" s="3">
        <v>156</v>
      </c>
      <c r="M187">
        <v>10</v>
      </c>
    </row>
    <row r="188" spans="1:13">
      <c r="A188" s="3">
        <v>145</v>
      </c>
      <c r="B188">
        <v>5</v>
      </c>
      <c r="H188" s="3">
        <v>143</v>
      </c>
      <c r="I188">
        <v>7</v>
      </c>
      <c r="L188" s="3">
        <v>157</v>
      </c>
      <c r="M188">
        <v>8</v>
      </c>
    </row>
    <row r="189" spans="1:13">
      <c r="A189" s="3">
        <v>146</v>
      </c>
      <c r="B189">
        <v>2</v>
      </c>
      <c r="H189" s="3">
        <v>144</v>
      </c>
      <c r="I189">
        <v>7</v>
      </c>
      <c r="L189" s="3">
        <v>158</v>
      </c>
      <c r="M189">
        <v>3</v>
      </c>
    </row>
    <row r="190" spans="1:13">
      <c r="A190" s="3">
        <v>147</v>
      </c>
      <c r="B190">
        <v>5</v>
      </c>
      <c r="H190" s="3">
        <v>145</v>
      </c>
      <c r="I190">
        <v>6</v>
      </c>
      <c r="L190" s="3">
        <v>159</v>
      </c>
      <c r="M190">
        <v>9</v>
      </c>
    </row>
    <row r="191" spans="1:13">
      <c r="A191" s="3">
        <v>148</v>
      </c>
      <c r="B191">
        <v>5</v>
      </c>
      <c r="H191" s="3">
        <v>146</v>
      </c>
      <c r="I191">
        <v>7</v>
      </c>
      <c r="L191" s="3">
        <v>160</v>
      </c>
      <c r="M191">
        <v>8</v>
      </c>
    </row>
    <row r="192" spans="1:13">
      <c r="A192" s="3">
        <v>149</v>
      </c>
      <c r="B192">
        <v>3</v>
      </c>
      <c r="H192" s="3">
        <v>147</v>
      </c>
      <c r="I192">
        <v>5</v>
      </c>
      <c r="L192" s="3">
        <v>161</v>
      </c>
      <c r="M192">
        <v>13</v>
      </c>
    </row>
    <row r="193" spans="1:13">
      <c r="A193" s="3">
        <v>150</v>
      </c>
      <c r="B193">
        <v>5</v>
      </c>
      <c r="H193" s="3">
        <v>148</v>
      </c>
      <c r="I193">
        <v>8</v>
      </c>
      <c r="L193" s="3">
        <v>162</v>
      </c>
      <c r="M193">
        <v>9</v>
      </c>
    </row>
    <row r="194" spans="1:13">
      <c r="A194" s="3">
        <v>151</v>
      </c>
      <c r="B194">
        <v>5</v>
      </c>
      <c r="H194" s="3">
        <v>149</v>
      </c>
      <c r="I194">
        <v>8</v>
      </c>
      <c r="L194" s="3">
        <v>163</v>
      </c>
      <c r="M194">
        <v>8</v>
      </c>
    </row>
    <row r="195" spans="1:13">
      <c r="A195" s="3">
        <v>152</v>
      </c>
      <c r="B195">
        <v>4.5</v>
      </c>
      <c r="H195" s="3">
        <v>150</v>
      </c>
      <c r="I195">
        <v>9</v>
      </c>
      <c r="L195" s="3">
        <v>164</v>
      </c>
      <c r="M195">
        <v>9</v>
      </c>
    </row>
    <row r="196" spans="1:13">
      <c r="A196" s="3">
        <v>153</v>
      </c>
      <c r="B196">
        <v>2</v>
      </c>
      <c r="H196" s="3">
        <v>151</v>
      </c>
      <c r="I196">
        <v>5</v>
      </c>
      <c r="L196" s="3">
        <v>165</v>
      </c>
      <c r="M196">
        <v>15</v>
      </c>
    </row>
    <row r="197" spans="1:13">
      <c r="A197" s="3">
        <v>154</v>
      </c>
      <c r="B197">
        <v>4.5</v>
      </c>
      <c r="H197" s="3">
        <v>152</v>
      </c>
      <c r="I197">
        <v>6</v>
      </c>
      <c r="L197" s="3">
        <v>166</v>
      </c>
      <c r="M197">
        <v>10</v>
      </c>
    </row>
    <row r="198" spans="1:13">
      <c r="A198" s="3">
        <v>155</v>
      </c>
      <c r="B198">
        <v>2</v>
      </c>
      <c r="H198" s="3">
        <v>153</v>
      </c>
      <c r="I198">
        <v>9</v>
      </c>
      <c r="L198" s="3">
        <v>167</v>
      </c>
      <c r="M198">
        <v>7</v>
      </c>
    </row>
    <row r="199" spans="1:13">
      <c r="A199" s="3">
        <v>156</v>
      </c>
      <c r="B199">
        <v>4.5</v>
      </c>
      <c r="H199" s="3">
        <v>154</v>
      </c>
      <c r="I199">
        <v>7</v>
      </c>
      <c r="L199" s="3">
        <v>168</v>
      </c>
      <c r="M199">
        <v>4</v>
      </c>
    </row>
    <row r="200" spans="1:13">
      <c r="A200" s="3">
        <v>157</v>
      </c>
      <c r="B200">
        <v>5</v>
      </c>
      <c r="H200" s="3">
        <v>155</v>
      </c>
      <c r="I200">
        <v>7</v>
      </c>
      <c r="L200" s="3">
        <v>169</v>
      </c>
      <c r="M200">
        <v>9</v>
      </c>
    </row>
    <row r="201" spans="1:13">
      <c r="A201" s="3">
        <v>158</v>
      </c>
      <c r="B201">
        <v>5</v>
      </c>
      <c r="H201" s="3">
        <v>156</v>
      </c>
      <c r="I201">
        <v>8</v>
      </c>
      <c r="L201" s="3">
        <v>170</v>
      </c>
      <c r="M201">
        <v>4</v>
      </c>
    </row>
    <row r="202" spans="1:13">
      <c r="A202" s="3">
        <v>159</v>
      </c>
      <c r="B202">
        <v>2</v>
      </c>
      <c r="H202" s="3">
        <v>157</v>
      </c>
      <c r="I202">
        <v>7</v>
      </c>
      <c r="L202" s="3">
        <v>171</v>
      </c>
      <c r="M202">
        <v>2</v>
      </c>
    </row>
    <row r="203" spans="1:13">
      <c r="A203" s="3">
        <v>160</v>
      </c>
      <c r="B203">
        <v>1</v>
      </c>
      <c r="H203" s="3">
        <v>158</v>
      </c>
      <c r="I203">
        <v>6</v>
      </c>
      <c r="L203" s="3">
        <v>172</v>
      </c>
      <c r="M203">
        <v>9</v>
      </c>
    </row>
    <row r="204" spans="1:13">
      <c r="A204" s="3">
        <v>161</v>
      </c>
      <c r="B204">
        <v>1</v>
      </c>
      <c r="H204" s="3">
        <v>159</v>
      </c>
      <c r="I204">
        <v>7</v>
      </c>
      <c r="L204" s="3">
        <v>173</v>
      </c>
      <c r="M204">
        <v>18</v>
      </c>
    </row>
    <row r="205" spans="1:13">
      <c r="A205" s="3">
        <v>162</v>
      </c>
      <c r="B205">
        <v>4.5</v>
      </c>
      <c r="H205" s="3">
        <v>160</v>
      </c>
      <c r="I205">
        <v>10</v>
      </c>
      <c r="L205" s="3">
        <v>174</v>
      </c>
      <c r="M205">
        <v>10</v>
      </c>
    </row>
    <row r="206" spans="1:13">
      <c r="A206" s="3">
        <v>163</v>
      </c>
      <c r="B206">
        <v>2</v>
      </c>
      <c r="H206" s="3">
        <v>161</v>
      </c>
      <c r="I206">
        <v>6</v>
      </c>
      <c r="L206" s="3">
        <v>175</v>
      </c>
      <c r="M206">
        <v>3</v>
      </c>
    </row>
    <row r="207" spans="1:13">
      <c r="A207" s="3">
        <v>164</v>
      </c>
      <c r="B207">
        <v>3</v>
      </c>
      <c r="H207" s="3">
        <v>162</v>
      </c>
      <c r="I207">
        <v>5</v>
      </c>
      <c r="L207" s="3">
        <v>176</v>
      </c>
      <c r="M207">
        <v>6</v>
      </c>
    </row>
    <row r="208" spans="1:13">
      <c r="A208" s="3">
        <v>165</v>
      </c>
      <c r="B208">
        <v>3</v>
      </c>
      <c r="H208" s="3">
        <v>163</v>
      </c>
      <c r="I208">
        <v>9</v>
      </c>
      <c r="L208" s="3">
        <v>177</v>
      </c>
      <c r="M208">
        <v>5</v>
      </c>
    </row>
    <row r="209" spans="1:13">
      <c r="A209" s="3">
        <v>166</v>
      </c>
      <c r="B209">
        <v>3</v>
      </c>
      <c r="H209" s="3">
        <v>164</v>
      </c>
      <c r="I209">
        <v>7</v>
      </c>
      <c r="L209" s="3">
        <v>178</v>
      </c>
      <c r="M209">
        <v>3</v>
      </c>
    </row>
    <row r="210" spans="1:13">
      <c r="A210" s="3">
        <v>167</v>
      </c>
      <c r="B210">
        <v>5</v>
      </c>
      <c r="H210" s="3">
        <v>165</v>
      </c>
      <c r="I210">
        <v>7</v>
      </c>
      <c r="L210" s="3">
        <v>179</v>
      </c>
      <c r="M210">
        <v>0</v>
      </c>
    </row>
    <row r="211" spans="1:13">
      <c r="A211" s="3">
        <v>168</v>
      </c>
      <c r="B211">
        <v>4.5</v>
      </c>
      <c r="H211" s="3">
        <v>166</v>
      </c>
      <c r="I211">
        <v>6</v>
      </c>
      <c r="L211" s="3">
        <v>180</v>
      </c>
      <c r="M211">
        <v>0</v>
      </c>
    </row>
    <row r="212" spans="1:13">
      <c r="A212" s="3">
        <v>169</v>
      </c>
      <c r="B212">
        <v>5</v>
      </c>
      <c r="H212" s="3">
        <v>167</v>
      </c>
      <c r="I212">
        <v>9</v>
      </c>
      <c r="L212" s="3">
        <v>181</v>
      </c>
      <c r="M212">
        <v>9</v>
      </c>
    </row>
    <row r="213" spans="1:13">
      <c r="A213" s="3">
        <v>170</v>
      </c>
      <c r="B213">
        <v>5</v>
      </c>
      <c r="H213" s="3">
        <v>168</v>
      </c>
      <c r="I213">
        <v>7</v>
      </c>
      <c r="L213" s="3">
        <v>182</v>
      </c>
      <c r="M213">
        <v>2</v>
      </c>
    </row>
    <row r="214" spans="1:13">
      <c r="A214" s="3">
        <v>171</v>
      </c>
      <c r="B214">
        <v>5</v>
      </c>
      <c r="H214" s="3">
        <v>169</v>
      </c>
      <c r="I214">
        <v>7</v>
      </c>
      <c r="L214" s="3">
        <v>183</v>
      </c>
      <c r="M214">
        <v>8</v>
      </c>
    </row>
    <row r="215" spans="1:13">
      <c r="A215" s="3">
        <v>172</v>
      </c>
      <c r="B215">
        <v>5</v>
      </c>
      <c r="H215" s="3">
        <v>170</v>
      </c>
      <c r="I215">
        <v>6</v>
      </c>
      <c r="L215" s="3">
        <v>184</v>
      </c>
      <c r="M215">
        <v>3</v>
      </c>
    </row>
    <row r="216" spans="1:13">
      <c r="A216" s="3">
        <v>173</v>
      </c>
      <c r="B216">
        <v>5</v>
      </c>
      <c r="H216" s="3">
        <v>171</v>
      </c>
      <c r="I216">
        <v>9</v>
      </c>
      <c r="L216" s="3">
        <v>185</v>
      </c>
      <c r="M216">
        <v>7</v>
      </c>
    </row>
    <row r="217" spans="1:13">
      <c r="A217" s="3">
        <v>174</v>
      </c>
      <c r="B217">
        <v>5</v>
      </c>
      <c r="H217" s="3">
        <v>172</v>
      </c>
      <c r="I217">
        <v>6</v>
      </c>
      <c r="L217" s="3">
        <v>186</v>
      </c>
      <c r="M217">
        <v>0</v>
      </c>
    </row>
    <row r="218" spans="1:13">
      <c r="A218" s="3">
        <v>175</v>
      </c>
      <c r="B218">
        <v>5</v>
      </c>
      <c r="H218" s="3">
        <v>173</v>
      </c>
      <c r="I218">
        <v>8</v>
      </c>
      <c r="L218" s="3">
        <v>187</v>
      </c>
      <c r="M218">
        <v>5</v>
      </c>
    </row>
    <row r="219" spans="1:13">
      <c r="A219" s="3">
        <v>176</v>
      </c>
      <c r="B219">
        <v>4.5</v>
      </c>
      <c r="H219" s="3">
        <v>174</v>
      </c>
      <c r="I219">
        <v>8</v>
      </c>
      <c r="L219" s="3">
        <v>188</v>
      </c>
      <c r="M219">
        <v>1</v>
      </c>
    </row>
    <row r="220" spans="1:13">
      <c r="A220" s="3">
        <v>177</v>
      </c>
      <c r="B220">
        <v>5</v>
      </c>
      <c r="H220" s="3">
        <v>175</v>
      </c>
      <c r="I220">
        <v>9</v>
      </c>
      <c r="L220" s="3">
        <v>189</v>
      </c>
      <c r="M220">
        <v>10</v>
      </c>
    </row>
    <row r="221" spans="1:13">
      <c r="A221" s="3">
        <v>178</v>
      </c>
      <c r="B221">
        <v>4.5</v>
      </c>
      <c r="H221" s="3">
        <v>176</v>
      </c>
      <c r="I221">
        <v>6</v>
      </c>
      <c r="L221" s="3">
        <v>190</v>
      </c>
      <c r="M221">
        <v>2</v>
      </c>
    </row>
    <row r="222" spans="1:13">
      <c r="A222" s="3">
        <v>179</v>
      </c>
      <c r="B222">
        <v>1</v>
      </c>
      <c r="H222" s="3">
        <v>177</v>
      </c>
      <c r="I222">
        <v>8</v>
      </c>
      <c r="L222" s="3">
        <v>191</v>
      </c>
      <c r="M222">
        <v>23</v>
      </c>
    </row>
    <row r="223" spans="1:13">
      <c r="A223" s="3">
        <v>180</v>
      </c>
      <c r="B223">
        <v>3</v>
      </c>
      <c r="H223" s="3">
        <v>178</v>
      </c>
      <c r="I223">
        <v>7</v>
      </c>
      <c r="L223" s="3">
        <v>192</v>
      </c>
      <c r="M223">
        <v>8</v>
      </c>
    </row>
    <row r="224" spans="1:13">
      <c r="A224" s="3">
        <v>181</v>
      </c>
      <c r="B224">
        <v>1</v>
      </c>
      <c r="H224" s="3">
        <v>179</v>
      </c>
      <c r="I224">
        <v>6</v>
      </c>
      <c r="L224" s="3">
        <v>193</v>
      </c>
      <c r="M224">
        <v>9</v>
      </c>
    </row>
    <row r="225" spans="1:13">
      <c r="A225" s="3">
        <v>182</v>
      </c>
      <c r="B225">
        <v>3</v>
      </c>
      <c r="H225" s="3">
        <v>180</v>
      </c>
      <c r="I225">
        <v>7</v>
      </c>
      <c r="L225" s="3">
        <v>194</v>
      </c>
      <c r="M225">
        <v>3</v>
      </c>
    </row>
    <row r="226" spans="1:13">
      <c r="A226" s="3">
        <v>183</v>
      </c>
      <c r="B226">
        <v>1</v>
      </c>
      <c r="H226" s="3">
        <v>181</v>
      </c>
      <c r="I226">
        <v>8</v>
      </c>
      <c r="L226" s="3">
        <v>195</v>
      </c>
      <c r="M226">
        <v>9</v>
      </c>
    </row>
    <row r="227" spans="1:13">
      <c r="A227" s="3">
        <v>184</v>
      </c>
      <c r="B227">
        <v>5</v>
      </c>
      <c r="H227" s="3">
        <v>182</v>
      </c>
      <c r="I227">
        <v>5</v>
      </c>
      <c r="L227" s="3">
        <v>196</v>
      </c>
      <c r="M227">
        <v>4</v>
      </c>
    </row>
    <row r="228" spans="1:13">
      <c r="A228" s="3">
        <v>185</v>
      </c>
      <c r="B228">
        <v>4.5</v>
      </c>
      <c r="H228" s="3">
        <v>183</v>
      </c>
      <c r="I228">
        <v>7</v>
      </c>
      <c r="L228" s="3">
        <v>197</v>
      </c>
      <c r="M228">
        <v>0</v>
      </c>
    </row>
    <row r="229" spans="1:13">
      <c r="A229" s="3">
        <v>186</v>
      </c>
      <c r="B229">
        <v>1</v>
      </c>
      <c r="H229" s="3">
        <v>184</v>
      </c>
      <c r="I229">
        <v>7</v>
      </c>
      <c r="L229" s="3">
        <v>198</v>
      </c>
      <c r="M229">
        <v>68</v>
      </c>
    </row>
    <row r="230" spans="1:13">
      <c r="A230" s="3">
        <v>187</v>
      </c>
      <c r="B230">
        <v>3</v>
      </c>
      <c r="H230" s="3">
        <v>185</v>
      </c>
      <c r="I230">
        <v>5</v>
      </c>
      <c r="L230" s="3">
        <v>199</v>
      </c>
      <c r="M230">
        <v>1</v>
      </c>
    </row>
    <row r="231" spans="1:13">
      <c r="A231" s="3">
        <v>188</v>
      </c>
      <c r="B231">
        <v>3</v>
      </c>
      <c r="H231" s="3">
        <v>186</v>
      </c>
      <c r="I231">
        <v>7</v>
      </c>
      <c r="L231" s="3">
        <v>200</v>
      </c>
      <c r="M231">
        <v>7</v>
      </c>
    </row>
    <row r="232" spans="1:13">
      <c r="A232" s="3">
        <v>189</v>
      </c>
      <c r="B232">
        <v>3</v>
      </c>
      <c r="H232" s="3">
        <v>187</v>
      </c>
      <c r="I232">
        <v>8</v>
      </c>
      <c r="L232" s="3">
        <v>201</v>
      </c>
      <c r="M232">
        <v>8</v>
      </c>
    </row>
    <row r="233" spans="1:13">
      <c r="A233" s="3">
        <v>190</v>
      </c>
      <c r="B233">
        <v>2</v>
      </c>
      <c r="H233" s="3">
        <v>188</v>
      </c>
      <c r="I233">
        <v>6</v>
      </c>
      <c r="L233" s="3">
        <v>202</v>
      </c>
      <c r="M233">
        <v>10</v>
      </c>
    </row>
    <row r="234" spans="1:13">
      <c r="A234" s="3">
        <v>191</v>
      </c>
      <c r="B234">
        <v>3</v>
      </c>
      <c r="H234" s="3">
        <v>189</v>
      </c>
      <c r="I234">
        <v>8</v>
      </c>
      <c r="L234" s="3">
        <v>203</v>
      </c>
      <c r="M234">
        <v>9</v>
      </c>
    </row>
    <row r="235" spans="1:13">
      <c r="A235" s="3">
        <v>192</v>
      </c>
      <c r="B235">
        <v>2</v>
      </c>
      <c r="H235" s="3">
        <v>190</v>
      </c>
      <c r="I235">
        <v>6</v>
      </c>
      <c r="L235" s="3">
        <v>204</v>
      </c>
      <c r="M235">
        <v>73</v>
      </c>
    </row>
    <row r="236" spans="1:13">
      <c r="A236" s="3">
        <v>193</v>
      </c>
      <c r="B236">
        <v>5</v>
      </c>
      <c r="H236" s="3">
        <v>191</v>
      </c>
      <c r="I236">
        <v>7</v>
      </c>
      <c r="L236" s="3">
        <v>205</v>
      </c>
      <c r="M236">
        <v>8</v>
      </c>
    </row>
    <row r="237" spans="1:13">
      <c r="A237" s="3">
        <v>194</v>
      </c>
      <c r="B237">
        <v>5</v>
      </c>
      <c r="H237" s="3">
        <v>192</v>
      </c>
      <c r="I237">
        <v>6</v>
      </c>
      <c r="L237" s="3">
        <v>206</v>
      </c>
      <c r="M237">
        <v>5</v>
      </c>
    </row>
    <row r="238" spans="1:13">
      <c r="A238" s="3">
        <v>195</v>
      </c>
      <c r="B238">
        <v>1</v>
      </c>
      <c r="H238" s="3">
        <v>193</v>
      </c>
      <c r="I238">
        <v>6</v>
      </c>
      <c r="L238" s="3">
        <v>207</v>
      </c>
      <c r="M238">
        <v>13</v>
      </c>
    </row>
    <row r="239" spans="1:13">
      <c r="A239" s="3">
        <v>196</v>
      </c>
      <c r="B239">
        <v>4.5</v>
      </c>
      <c r="H239" s="3">
        <v>194</v>
      </c>
      <c r="I239">
        <v>6</v>
      </c>
      <c r="L239" s="3">
        <v>208</v>
      </c>
      <c r="M239">
        <v>1</v>
      </c>
    </row>
    <row r="240" spans="1:13">
      <c r="A240" s="3">
        <v>197</v>
      </c>
      <c r="B240">
        <v>5</v>
      </c>
      <c r="H240" s="3">
        <v>195</v>
      </c>
      <c r="I240">
        <v>7</v>
      </c>
      <c r="L240" s="3">
        <v>209</v>
      </c>
      <c r="M240">
        <v>0</v>
      </c>
    </row>
    <row r="241" spans="1:13">
      <c r="A241" s="3">
        <v>198</v>
      </c>
      <c r="B241">
        <v>5</v>
      </c>
      <c r="H241" s="3">
        <v>196</v>
      </c>
      <c r="I241">
        <v>10</v>
      </c>
      <c r="L241" s="3">
        <v>210</v>
      </c>
      <c r="M241">
        <v>6</v>
      </c>
    </row>
    <row r="242" spans="1:13">
      <c r="A242" s="3">
        <v>199</v>
      </c>
      <c r="B242">
        <v>5</v>
      </c>
      <c r="H242" s="3">
        <v>197</v>
      </c>
      <c r="I242">
        <v>7</v>
      </c>
      <c r="L242" s="3">
        <v>211</v>
      </c>
      <c r="M242">
        <v>10</v>
      </c>
    </row>
    <row r="243" spans="1:13">
      <c r="A243" s="3">
        <v>200</v>
      </c>
      <c r="B243">
        <v>1</v>
      </c>
      <c r="H243" s="3">
        <v>198</v>
      </c>
      <c r="I243">
        <v>5</v>
      </c>
      <c r="L243" s="3">
        <v>212</v>
      </c>
      <c r="M243">
        <v>87</v>
      </c>
    </row>
    <row r="244" spans="1:13">
      <c r="A244" s="3">
        <v>201</v>
      </c>
      <c r="B244">
        <v>5</v>
      </c>
      <c r="H244" s="3">
        <v>199</v>
      </c>
      <c r="I244">
        <v>6</v>
      </c>
      <c r="L244" s="3">
        <v>213</v>
      </c>
      <c r="M244">
        <v>7</v>
      </c>
    </row>
    <row r="245" spans="1:13">
      <c r="A245" s="3">
        <v>202</v>
      </c>
      <c r="B245">
        <v>1</v>
      </c>
      <c r="H245" s="3">
        <v>200</v>
      </c>
      <c r="I245">
        <v>6</v>
      </c>
      <c r="L245" s="3">
        <v>214</v>
      </c>
      <c r="M245">
        <v>11</v>
      </c>
    </row>
    <row r="246" spans="1:13">
      <c r="A246" s="3">
        <v>203</v>
      </c>
      <c r="B246">
        <v>4.5</v>
      </c>
      <c r="H246" s="3">
        <v>201</v>
      </c>
      <c r="I246">
        <v>7</v>
      </c>
      <c r="L246" s="3">
        <v>215</v>
      </c>
      <c r="M246">
        <v>0</v>
      </c>
    </row>
    <row r="247" spans="1:13">
      <c r="A247" s="3">
        <v>204</v>
      </c>
      <c r="B247">
        <v>1</v>
      </c>
      <c r="H247" s="3">
        <v>202</v>
      </c>
      <c r="I247">
        <v>6</v>
      </c>
      <c r="L247" s="3">
        <v>216</v>
      </c>
      <c r="M247">
        <v>7</v>
      </c>
    </row>
    <row r="248" spans="1:13">
      <c r="A248" s="3">
        <v>205</v>
      </c>
      <c r="B248">
        <v>4.5</v>
      </c>
      <c r="H248" s="3">
        <v>203</v>
      </c>
      <c r="I248">
        <v>7</v>
      </c>
      <c r="L248" s="3">
        <v>217</v>
      </c>
      <c r="M248">
        <v>0</v>
      </c>
    </row>
    <row r="249" spans="1:13">
      <c r="A249" s="3">
        <v>206</v>
      </c>
      <c r="B249">
        <v>3</v>
      </c>
      <c r="H249" s="3">
        <v>204</v>
      </c>
      <c r="I249">
        <v>8</v>
      </c>
      <c r="L249" s="3">
        <v>218</v>
      </c>
      <c r="M249">
        <v>1</v>
      </c>
    </row>
    <row r="250" spans="1:13">
      <c r="A250" s="3">
        <v>207</v>
      </c>
      <c r="B250">
        <v>2</v>
      </c>
      <c r="H250" s="3">
        <v>205</v>
      </c>
      <c r="I250">
        <v>9</v>
      </c>
      <c r="L250" s="3">
        <v>219</v>
      </c>
      <c r="M250">
        <v>0</v>
      </c>
    </row>
    <row r="251" spans="1:13">
      <c r="A251" s="3">
        <v>208</v>
      </c>
      <c r="B251">
        <v>5</v>
      </c>
      <c r="H251" s="3">
        <v>206</v>
      </c>
      <c r="I251">
        <v>7</v>
      </c>
      <c r="L251" s="3">
        <v>220</v>
      </c>
      <c r="M251">
        <v>10</v>
      </c>
    </row>
    <row r="252" spans="1:13">
      <c r="A252" s="3">
        <v>209</v>
      </c>
      <c r="B252">
        <v>5</v>
      </c>
      <c r="H252" s="3">
        <v>207</v>
      </c>
      <c r="I252">
        <v>5</v>
      </c>
      <c r="L252" s="3">
        <v>221</v>
      </c>
      <c r="M252">
        <v>4</v>
      </c>
    </row>
    <row r="253" spans="1:13">
      <c r="A253" s="3">
        <v>210</v>
      </c>
      <c r="B253">
        <v>2</v>
      </c>
      <c r="H253" s="3">
        <v>208</v>
      </c>
      <c r="I253">
        <v>5</v>
      </c>
      <c r="L253" s="3">
        <v>222</v>
      </c>
      <c r="M253">
        <v>12</v>
      </c>
    </row>
    <row r="254" spans="1:13">
      <c r="A254" s="3">
        <v>211</v>
      </c>
      <c r="B254">
        <v>4.5</v>
      </c>
      <c r="H254" s="3">
        <v>209</v>
      </c>
      <c r="I254">
        <v>8</v>
      </c>
      <c r="L254" s="3">
        <v>223</v>
      </c>
      <c r="M254">
        <v>2</v>
      </c>
    </row>
    <row r="255" spans="1:13">
      <c r="A255" s="3">
        <v>212</v>
      </c>
      <c r="B255">
        <v>3</v>
      </c>
      <c r="H255" s="3">
        <v>210</v>
      </c>
      <c r="I255">
        <v>7</v>
      </c>
      <c r="L255" s="3">
        <v>224</v>
      </c>
      <c r="M255">
        <v>10</v>
      </c>
    </row>
    <row r="256" spans="1:13">
      <c r="A256" s="3">
        <v>213</v>
      </c>
      <c r="B256">
        <v>3</v>
      </c>
      <c r="H256" s="3">
        <v>211</v>
      </c>
      <c r="I256">
        <v>7</v>
      </c>
      <c r="L256" s="3">
        <v>225</v>
      </c>
      <c r="M256">
        <v>64</v>
      </c>
    </row>
    <row r="257" spans="1:13">
      <c r="A257" s="3">
        <v>214</v>
      </c>
      <c r="B257">
        <v>2</v>
      </c>
      <c r="H257" s="3">
        <v>212</v>
      </c>
      <c r="I257">
        <v>8</v>
      </c>
      <c r="L257" s="3">
        <v>226</v>
      </c>
      <c r="M257">
        <v>8</v>
      </c>
    </row>
    <row r="258" spans="1:13">
      <c r="A258" s="3">
        <v>215</v>
      </c>
      <c r="B258">
        <v>4.5</v>
      </c>
      <c r="H258" s="3">
        <v>213</v>
      </c>
      <c r="I258">
        <v>6</v>
      </c>
      <c r="L258" s="3">
        <v>227</v>
      </c>
      <c r="M258">
        <v>7</v>
      </c>
    </row>
    <row r="259" spans="1:13">
      <c r="A259" s="3">
        <v>216</v>
      </c>
      <c r="B259">
        <v>4.5</v>
      </c>
      <c r="H259" s="3">
        <v>214</v>
      </c>
      <c r="I259">
        <v>9</v>
      </c>
      <c r="L259" s="3">
        <v>228</v>
      </c>
      <c r="M259">
        <v>16</v>
      </c>
    </row>
    <row r="260" spans="1:13">
      <c r="A260" s="3">
        <v>217</v>
      </c>
      <c r="B260">
        <v>2</v>
      </c>
      <c r="H260" s="3">
        <v>215</v>
      </c>
      <c r="I260">
        <v>5</v>
      </c>
      <c r="L260" s="3">
        <v>229</v>
      </c>
      <c r="M260">
        <v>7</v>
      </c>
    </row>
    <row r="261" spans="1:13">
      <c r="A261" s="3">
        <v>218</v>
      </c>
      <c r="B261">
        <v>3</v>
      </c>
      <c r="H261" s="3">
        <v>216</v>
      </c>
      <c r="I261">
        <v>9</v>
      </c>
      <c r="L261" s="3">
        <v>230</v>
      </c>
      <c r="M261">
        <v>7</v>
      </c>
    </row>
    <row r="262" spans="1:13">
      <c r="A262" s="3">
        <v>219</v>
      </c>
      <c r="B262">
        <v>4.5</v>
      </c>
      <c r="H262" s="3">
        <v>217</v>
      </c>
      <c r="I262">
        <v>6</v>
      </c>
      <c r="L262" s="3">
        <v>231</v>
      </c>
      <c r="M262">
        <v>4</v>
      </c>
    </row>
    <row r="263" spans="1:13">
      <c r="A263" s="3">
        <v>220</v>
      </c>
      <c r="B263">
        <v>5</v>
      </c>
      <c r="H263" s="3">
        <v>218</v>
      </c>
      <c r="I263">
        <v>8</v>
      </c>
      <c r="L263" s="3">
        <v>232</v>
      </c>
      <c r="M263">
        <v>2</v>
      </c>
    </row>
    <row r="264" spans="1:13">
      <c r="A264" s="3">
        <v>221</v>
      </c>
      <c r="B264">
        <v>1</v>
      </c>
      <c r="H264" s="3">
        <v>219</v>
      </c>
      <c r="I264">
        <v>9</v>
      </c>
      <c r="L264" s="3">
        <v>233</v>
      </c>
      <c r="M264">
        <v>10</v>
      </c>
    </row>
    <row r="265" spans="1:13">
      <c r="A265" s="3">
        <v>222</v>
      </c>
      <c r="B265">
        <v>1</v>
      </c>
      <c r="H265" s="3">
        <v>220</v>
      </c>
      <c r="I265">
        <v>6</v>
      </c>
      <c r="L265" s="3">
        <v>234</v>
      </c>
      <c r="M265">
        <v>12</v>
      </c>
    </row>
    <row r="266" spans="1:13">
      <c r="A266" s="3">
        <v>223</v>
      </c>
      <c r="B266">
        <v>5</v>
      </c>
      <c r="H266" s="3">
        <v>221</v>
      </c>
      <c r="I266">
        <v>7</v>
      </c>
      <c r="L266" s="3">
        <v>235</v>
      </c>
      <c r="M266">
        <v>9</v>
      </c>
    </row>
    <row r="267" spans="1:13">
      <c r="A267" s="3">
        <v>224</v>
      </c>
      <c r="B267">
        <v>5</v>
      </c>
      <c r="H267" s="3">
        <v>222</v>
      </c>
      <c r="I267">
        <v>6</v>
      </c>
      <c r="L267" s="3">
        <v>236</v>
      </c>
      <c r="M267">
        <v>13</v>
      </c>
    </row>
    <row r="268" spans="1:13">
      <c r="A268" s="3">
        <v>225</v>
      </c>
      <c r="B268">
        <v>4.5</v>
      </c>
      <c r="H268" s="3">
        <v>223</v>
      </c>
      <c r="I268">
        <v>8</v>
      </c>
      <c r="L268" s="3">
        <v>237</v>
      </c>
      <c r="M268">
        <v>34</v>
      </c>
    </row>
    <row r="269" spans="1:13">
      <c r="A269" s="3">
        <v>226</v>
      </c>
      <c r="B269">
        <v>2</v>
      </c>
      <c r="H269" s="3">
        <v>224</v>
      </c>
      <c r="I269">
        <v>7</v>
      </c>
      <c r="L269" s="3">
        <v>238</v>
      </c>
      <c r="M269">
        <v>6</v>
      </c>
    </row>
    <row r="270" spans="1:13">
      <c r="A270" s="3">
        <v>227</v>
      </c>
      <c r="B270">
        <v>5</v>
      </c>
      <c r="H270" s="3">
        <v>225</v>
      </c>
      <c r="I270">
        <v>6</v>
      </c>
      <c r="L270" s="3">
        <v>239</v>
      </c>
      <c r="M270">
        <v>13</v>
      </c>
    </row>
    <row r="271" spans="1:13">
      <c r="A271" s="3">
        <v>228</v>
      </c>
      <c r="B271">
        <v>3</v>
      </c>
      <c r="H271" s="3">
        <v>226</v>
      </c>
      <c r="I271">
        <v>7</v>
      </c>
      <c r="L271" s="3">
        <v>240</v>
      </c>
      <c r="M271">
        <v>3</v>
      </c>
    </row>
    <row r="272" spans="1:13">
      <c r="A272" s="3">
        <v>229</v>
      </c>
      <c r="B272">
        <v>5</v>
      </c>
      <c r="H272" s="3">
        <v>227</v>
      </c>
      <c r="I272">
        <v>6</v>
      </c>
      <c r="L272" s="3">
        <v>241</v>
      </c>
      <c r="M272">
        <v>7</v>
      </c>
    </row>
    <row r="273" spans="1:13">
      <c r="A273" s="3">
        <v>230</v>
      </c>
      <c r="B273">
        <v>1</v>
      </c>
      <c r="H273" s="3">
        <v>228</v>
      </c>
      <c r="I273">
        <v>7</v>
      </c>
      <c r="L273" s="3">
        <v>242</v>
      </c>
      <c r="M273">
        <v>0</v>
      </c>
    </row>
    <row r="274" spans="1:13">
      <c r="A274" s="3">
        <v>231</v>
      </c>
      <c r="B274">
        <v>3</v>
      </c>
      <c r="H274" s="3">
        <v>229</v>
      </c>
      <c r="I274">
        <v>8</v>
      </c>
      <c r="L274" s="3">
        <v>243</v>
      </c>
      <c r="M274">
        <v>3</v>
      </c>
    </row>
    <row r="275" spans="1:13">
      <c r="A275" s="3">
        <v>232</v>
      </c>
      <c r="B275">
        <v>5</v>
      </c>
      <c r="H275" s="3">
        <v>230</v>
      </c>
      <c r="I275">
        <v>5</v>
      </c>
      <c r="L275" s="3">
        <v>244</v>
      </c>
      <c r="M275">
        <v>8</v>
      </c>
    </row>
    <row r="276" spans="1:13">
      <c r="A276" s="3">
        <v>233</v>
      </c>
      <c r="B276">
        <v>3</v>
      </c>
      <c r="H276" s="3">
        <v>231</v>
      </c>
      <c r="I276">
        <v>8</v>
      </c>
      <c r="L276" s="3">
        <v>245</v>
      </c>
      <c r="M276">
        <v>8</v>
      </c>
    </row>
    <row r="277" spans="1:13">
      <c r="A277" s="3">
        <v>234</v>
      </c>
      <c r="B277">
        <v>1</v>
      </c>
      <c r="H277" s="3">
        <v>232</v>
      </c>
      <c r="I277">
        <v>7</v>
      </c>
      <c r="L277" s="3">
        <v>246</v>
      </c>
      <c r="M277">
        <v>3</v>
      </c>
    </row>
    <row r="278" spans="1:13">
      <c r="A278" s="3">
        <v>235</v>
      </c>
      <c r="B278">
        <v>4.5</v>
      </c>
      <c r="H278" s="3">
        <v>233</v>
      </c>
      <c r="I278">
        <v>6</v>
      </c>
      <c r="L278" s="3">
        <v>247</v>
      </c>
      <c r="M278">
        <v>1</v>
      </c>
    </row>
    <row r="279" spans="1:13">
      <c r="A279" s="3">
        <v>236</v>
      </c>
      <c r="B279">
        <v>5</v>
      </c>
      <c r="H279" s="3">
        <v>234</v>
      </c>
      <c r="I279">
        <v>5</v>
      </c>
      <c r="L279" s="3">
        <v>248</v>
      </c>
      <c r="M279">
        <v>4</v>
      </c>
    </row>
    <row r="280" spans="1:13">
      <c r="A280" s="3">
        <v>237</v>
      </c>
      <c r="B280">
        <v>3</v>
      </c>
      <c r="H280" s="3">
        <v>235</v>
      </c>
      <c r="I280">
        <v>7</v>
      </c>
      <c r="L280" s="3">
        <v>249</v>
      </c>
      <c r="M280">
        <v>7</v>
      </c>
    </row>
    <row r="281" spans="1:13">
      <c r="A281" s="3">
        <v>238</v>
      </c>
      <c r="B281">
        <v>4.5</v>
      </c>
      <c r="H281" s="3">
        <v>236</v>
      </c>
      <c r="I281">
        <v>6</v>
      </c>
      <c r="L281" s="3">
        <v>250</v>
      </c>
      <c r="M281">
        <v>86</v>
      </c>
    </row>
    <row r="282" spans="1:13">
      <c r="A282" s="3">
        <v>239</v>
      </c>
      <c r="B282">
        <v>5</v>
      </c>
      <c r="H282" s="3">
        <v>237</v>
      </c>
      <c r="I282">
        <v>6</v>
      </c>
      <c r="L282" s="3">
        <v>251</v>
      </c>
      <c r="M282">
        <v>12</v>
      </c>
    </row>
    <row r="283" spans="1:13">
      <c r="A283" s="3">
        <v>240</v>
      </c>
      <c r="B283">
        <v>4.5</v>
      </c>
      <c r="H283" s="3">
        <v>238</v>
      </c>
      <c r="I283">
        <v>6</v>
      </c>
      <c r="L283" s="3">
        <v>252</v>
      </c>
      <c r="M283">
        <v>5</v>
      </c>
    </row>
    <row r="284" spans="1:13">
      <c r="A284" s="3">
        <v>241</v>
      </c>
      <c r="B284">
        <v>5</v>
      </c>
      <c r="H284" s="3">
        <v>239</v>
      </c>
      <c r="I284">
        <v>8</v>
      </c>
      <c r="L284" s="3">
        <v>253</v>
      </c>
      <c r="M284">
        <v>0</v>
      </c>
    </row>
    <row r="285" spans="1:13">
      <c r="A285" s="3">
        <v>242</v>
      </c>
      <c r="B285">
        <v>3</v>
      </c>
      <c r="H285" s="3">
        <v>240</v>
      </c>
      <c r="I285">
        <v>7</v>
      </c>
      <c r="L285" s="3">
        <v>254</v>
      </c>
      <c r="M285">
        <v>2</v>
      </c>
    </row>
    <row r="286" spans="1:13">
      <c r="A286" s="3">
        <v>243</v>
      </c>
      <c r="B286">
        <v>3</v>
      </c>
      <c r="H286" s="3">
        <v>241</v>
      </c>
      <c r="I286">
        <v>10</v>
      </c>
      <c r="L286" s="3">
        <v>255</v>
      </c>
      <c r="M286">
        <v>9</v>
      </c>
    </row>
    <row r="287" spans="1:13">
      <c r="A287" s="3">
        <v>244</v>
      </c>
      <c r="B287">
        <v>3</v>
      </c>
      <c r="H287" s="3">
        <v>242</v>
      </c>
      <c r="I287">
        <v>6</v>
      </c>
      <c r="L287" s="3">
        <v>256</v>
      </c>
      <c r="M287">
        <v>5</v>
      </c>
    </row>
    <row r="288" spans="1:13">
      <c r="A288" s="3">
        <v>245</v>
      </c>
      <c r="B288">
        <v>3</v>
      </c>
      <c r="H288" s="3">
        <v>243</v>
      </c>
      <c r="I288">
        <v>7</v>
      </c>
      <c r="L288" s="3">
        <v>257</v>
      </c>
      <c r="M288">
        <v>7</v>
      </c>
    </row>
    <row r="289" spans="1:13">
      <c r="A289" s="3">
        <v>246</v>
      </c>
      <c r="B289">
        <v>5</v>
      </c>
      <c r="H289" s="3">
        <v>244</v>
      </c>
      <c r="I289">
        <v>7</v>
      </c>
      <c r="L289" s="3">
        <v>258</v>
      </c>
      <c r="M289">
        <v>13</v>
      </c>
    </row>
    <row r="290" spans="1:13">
      <c r="A290" s="3">
        <v>247</v>
      </c>
      <c r="B290">
        <v>3</v>
      </c>
      <c r="H290" s="3">
        <v>245</v>
      </c>
      <c r="I290">
        <v>5</v>
      </c>
      <c r="L290" s="3">
        <v>259</v>
      </c>
      <c r="M290">
        <v>10</v>
      </c>
    </row>
    <row r="291" spans="1:13">
      <c r="A291" s="3">
        <v>248</v>
      </c>
      <c r="B291">
        <v>1</v>
      </c>
      <c r="H291" s="3">
        <v>246</v>
      </c>
      <c r="I291">
        <v>5</v>
      </c>
      <c r="L291" s="3">
        <v>260</v>
      </c>
      <c r="M291">
        <v>5</v>
      </c>
    </row>
    <row r="292" spans="1:13">
      <c r="A292" s="3">
        <v>249</v>
      </c>
      <c r="B292">
        <v>5</v>
      </c>
      <c r="H292" s="3">
        <v>247</v>
      </c>
      <c r="I292">
        <v>5</v>
      </c>
      <c r="L292" s="3">
        <v>261</v>
      </c>
      <c r="M292">
        <v>2</v>
      </c>
    </row>
    <row r="293" spans="1:13">
      <c r="A293" s="3">
        <v>250</v>
      </c>
      <c r="B293">
        <v>5</v>
      </c>
      <c r="H293" s="3">
        <v>248</v>
      </c>
      <c r="I293">
        <v>8</v>
      </c>
      <c r="L293" s="3">
        <v>262</v>
      </c>
      <c r="M293">
        <v>9</v>
      </c>
    </row>
    <row r="294" spans="1:13">
      <c r="A294" s="3">
        <v>251</v>
      </c>
      <c r="B294">
        <v>3</v>
      </c>
      <c r="H294" s="3">
        <v>249</v>
      </c>
      <c r="I294">
        <v>8</v>
      </c>
      <c r="L294" s="3">
        <v>263</v>
      </c>
      <c r="M294">
        <v>4</v>
      </c>
    </row>
    <row r="295" spans="1:13">
      <c r="A295" s="3">
        <v>252</v>
      </c>
      <c r="B295">
        <v>5</v>
      </c>
      <c r="H295" s="3">
        <v>250</v>
      </c>
      <c r="I295">
        <v>5</v>
      </c>
      <c r="L295" s="3">
        <v>264</v>
      </c>
      <c r="M295">
        <v>5</v>
      </c>
    </row>
    <row r="296" spans="1:13">
      <c r="A296" s="3">
        <v>253</v>
      </c>
      <c r="B296">
        <v>5</v>
      </c>
      <c r="H296" s="3">
        <v>251</v>
      </c>
      <c r="I296">
        <v>6</v>
      </c>
      <c r="L296" s="3">
        <v>265</v>
      </c>
      <c r="M296">
        <v>87</v>
      </c>
    </row>
    <row r="297" spans="1:13">
      <c r="A297" s="3">
        <v>254</v>
      </c>
      <c r="B297">
        <v>3</v>
      </c>
      <c r="H297" s="3">
        <v>252</v>
      </c>
      <c r="I297">
        <v>6</v>
      </c>
      <c r="L297" s="3">
        <v>266</v>
      </c>
      <c r="M297">
        <v>1</v>
      </c>
    </row>
    <row r="298" spans="1:13">
      <c r="A298" s="3">
        <v>255</v>
      </c>
      <c r="B298">
        <v>3</v>
      </c>
      <c r="H298" s="3">
        <v>253</v>
      </c>
      <c r="I298">
        <v>6</v>
      </c>
      <c r="L298" s="3">
        <v>267</v>
      </c>
      <c r="M298">
        <v>45</v>
      </c>
    </row>
    <row r="299" spans="1:13">
      <c r="A299" s="3">
        <v>256</v>
      </c>
      <c r="B299">
        <v>5</v>
      </c>
      <c r="H299" s="3">
        <v>254</v>
      </c>
      <c r="I299">
        <v>10</v>
      </c>
      <c r="L299" s="3">
        <v>268</v>
      </c>
      <c r="M299">
        <v>9</v>
      </c>
    </row>
    <row r="300" spans="1:13">
      <c r="A300" s="3">
        <v>257</v>
      </c>
      <c r="B300">
        <v>1</v>
      </c>
      <c r="H300" s="3">
        <v>255</v>
      </c>
      <c r="I300">
        <v>6</v>
      </c>
      <c r="L300" s="3">
        <v>269</v>
      </c>
      <c r="M300">
        <v>3</v>
      </c>
    </row>
    <row r="301" spans="1:13">
      <c r="A301" s="3">
        <v>258</v>
      </c>
      <c r="B301">
        <v>5</v>
      </c>
      <c r="H301" s="3">
        <v>256</v>
      </c>
      <c r="I301">
        <v>6</v>
      </c>
      <c r="L301" s="3">
        <v>270</v>
      </c>
      <c r="M301">
        <v>1</v>
      </c>
    </row>
    <row r="302" spans="1:13">
      <c r="A302" s="3">
        <v>259</v>
      </c>
      <c r="B302">
        <v>1</v>
      </c>
      <c r="H302" s="3">
        <v>257</v>
      </c>
      <c r="I302">
        <v>7</v>
      </c>
      <c r="L302" s="3">
        <v>271</v>
      </c>
      <c r="M302">
        <v>10</v>
      </c>
    </row>
    <row r="303" spans="1:13">
      <c r="A303" s="3">
        <v>260</v>
      </c>
      <c r="B303">
        <v>1</v>
      </c>
      <c r="H303" s="3">
        <v>258</v>
      </c>
      <c r="I303">
        <v>7</v>
      </c>
      <c r="L303" s="3">
        <v>272</v>
      </c>
      <c r="M303">
        <v>1</v>
      </c>
    </row>
    <row r="304" spans="1:13">
      <c r="A304" s="3">
        <v>261</v>
      </c>
      <c r="B304">
        <v>3</v>
      </c>
      <c r="H304" s="3">
        <v>259</v>
      </c>
      <c r="I304">
        <v>6</v>
      </c>
      <c r="L304" s="3">
        <v>273</v>
      </c>
      <c r="M304">
        <v>5</v>
      </c>
    </row>
    <row r="305" spans="1:13">
      <c r="A305" s="3">
        <v>262</v>
      </c>
      <c r="B305">
        <v>3</v>
      </c>
      <c r="H305" s="3">
        <v>260</v>
      </c>
      <c r="I305">
        <v>6</v>
      </c>
      <c r="L305" s="3">
        <v>274</v>
      </c>
      <c r="M305">
        <v>84</v>
      </c>
    </row>
    <row r="306" spans="1:13">
      <c r="A306" s="3">
        <v>263</v>
      </c>
      <c r="B306">
        <v>4.5</v>
      </c>
      <c r="H306" s="3">
        <v>261</v>
      </c>
      <c r="I306">
        <v>8</v>
      </c>
      <c r="L306" s="3">
        <v>275</v>
      </c>
      <c r="M306">
        <v>7</v>
      </c>
    </row>
    <row r="307" spans="1:13">
      <c r="A307" s="3">
        <v>264</v>
      </c>
      <c r="B307">
        <v>2</v>
      </c>
      <c r="H307" s="3">
        <v>262</v>
      </c>
      <c r="I307">
        <v>8</v>
      </c>
      <c r="L307" s="3">
        <v>276</v>
      </c>
      <c r="M307">
        <v>4</v>
      </c>
    </row>
    <row r="308" spans="1:13">
      <c r="A308" s="3">
        <v>265</v>
      </c>
      <c r="B308">
        <v>3</v>
      </c>
      <c r="H308" s="3">
        <v>263</v>
      </c>
      <c r="I308">
        <v>6</v>
      </c>
      <c r="L308" s="3">
        <v>277</v>
      </c>
      <c r="M308">
        <v>4</v>
      </c>
    </row>
    <row r="309" spans="1:13">
      <c r="A309" s="3">
        <v>266</v>
      </c>
      <c r="B309">
        <v>3</v>
      </c>
      <c r="H309" s="3">
        <v>264</v>
      </c>
      <c r="I309">
        <v>7</v>
      </c>
      <c r="L309" s="3">
        <v>278</v>
      </c>
      <c r="M309">
        <v>15</v>
      </c>
    </row>
    <row r="310" spans="1:13">
      <c r="A310" s="3">
        <v>267</v>
      </c>
      <c r="B310">
        <v>5</v>
      </c>
      <c r="H310" s="3">
        <v>265</v>
      </c>
      <c r="I310">
        <v>8</v>
      </c>
      <c r="L310" s="3">
        <v>279</v>
      </c>
      <c r="M310">
        <v>13</v>
      </c>
    </row>
    <row r="311" spans="1:13">
      <c r="A311" s="3">
        <v>268</v>
      </c>
      <c r="B311">
        <v>5</v>
      </c>
      <c r="H311" s="3">
        <v>266</v>
      </c>
      <c r="I311">
        <v>7</v>
      </c>
      <c r="L311" s="3">
        <v>280</v>
      </c>
      <c r="M311">
        <v>9</v>
      </c>
    </row>
    <row r="312" spans="1:13">
      <c r="A312" s="3">
        <v>269</v>
      </c>
      <c r="B312">
        <v>1</v>
      </c>
      <c r="H312" s="3">
        <v>267</v>
      </c>
      <c r="I312">
        <v>5</v>
      </c>
      <c r="L312" s="3">
        <v>281</v>
      </c>
      <c r="M312">
        <v>3</v>
      </c>
    </row>
    <row r="313" spans="1:13">
      <c r="A313" s="3">
        <v>270</v>
      </c>
      <c r="B313">
        <v>2</v>
      </c>
      <c r="H313" s="3">
        <v>268</v>
      </c>
      <c r="I313">
        <v>6</v>
      </c>
      <c r="L313" s="3">
        <v>282</v>
      </c>
      <c r="M313">
        <v>2</v>
      </c>
    </row>
    <row r="314" spans="1:13">
      <c r="A314" s="3">
        <v>271</v>
      </c>
      <c r="B314">
        <v>5</v>
      </c>
      <c r="H314" s="3">
        <v>269</v>
      </c>
      <c r="I314">
        <v>6</v>
      </c>
      <c r="L314" s="3">
        <v>283</v>
      </c>
      <c r="M314">
        <v>13</v>
      </c>
    </row>
    <row r="315" spans="1:13">
      <c r="A315" s="3">
        <v>272</v>
      </c>
      <c r="B315">
        <v>3</v>
      </c>
      <c r="H315" s="3">
        <v>270</v>
      </c>
      <c r="I315">
        <v>7</v>
      </c>
      <c r="L315" s="3">
        <v>284</v>
      </c>
      <c r="M315">
        <v>8</v>
      </c>
    </row>
    <row r="316" spans="1:13">
      <c r="A316" s="3">
        <v>273</v>
      </c>
      <c r="B316">
        <v>5</v>
      </c>
      <c r="H316" s="3">
        <v>271</v>
      </c>
      <c r="I316">
        <v>7</v>
      </c>
      <c r="L316" s="3">
        <v>285</v>
      </c>
      <c r="M316">
        <v>8</v>
      </c>
    </row>
    <row r="317" spans="1:13">
      <c r="A317" s="3">
        <v>274</v>
      </c>
      <c r="B317">
        <v>4.5</v>
      </c>
      <c r="H317" s="3">
        <v>272</v>
      </c>
      <c r="I317">
        <v>6</v>
      </c>
      <c r="L317" s="3">
        <v>286</v>
      </c>
      <c r="M317">
        <v>5</v>
      </c>
    </row>
    <row r="318" spans="1:13">
      <c r="A318" s="3">
        <v>275</v>
      </c>
      <c r="B318">
        <v>1</v>
      </c>
      <c r="H318" s="3">
        <v>273</v>
      </c>
      <c r="I318">
        <v>6</v>
      </c>
      <c r="L318" s="3">
        <v>287</v>
      </c>
      <c r="M318">
        <v>76</v>
      </c>
    </row>
    <row r="319" spans="1:13">
      <c r="A319" s="3">
        <v>276</v>
      </c>
      <c r="B319">
        <v>4.5</v>
      </c>
      <c r="H319" s="3">
        <v>274</v>
      </c>
      <c r="I319">
        <v>6</v>
      </c>
      <c r="L319" s="3">
        <v>288</v>
      </c>
      <c r="M319">
        <v>80</v>
      </c>
    </row>
    <row r="320" spans="1:13">
      <c r="A320" s="3">
        <v>277</v>
      </c>
      <c r="B320">
        <v>2</v>
      </c>
      <c r="H320" s="3">
        <v>275</v>
      </c>
      <c r="I320">
        <v>7</v>
      </c>
      <c r="L320" s="3">
        <v>289</v>
      </c>
      <c r="M320">
        <v>3</v>
      </c>
    </row>
    <row r="321" spans="1:13">
      <c r="A321" s="3">
        <v>278</v>
      </c>
      <c r="B321">
        <v>1</v>
      </c>
      <c r="H321" s="3">
        <v>276</v>
      </c>
      <c r="I321">
        <v>7</v>
      </c>
      <c r="L321" s="3">
        <v>290</v>
      </c>
      <c r="M321">
        <v>6</v>
      </c>
    </row>
    <row r="322" spans="1:13">
      <c r="A322" s="3">
        <v>279</v>
      </c>
      <c r="B322">
        <v>3</v>
      </c>
      <c r="H322" s="3">
        <v>277</v>
      </c>
      <c r="I322">
        <v>7</v>
      </c>
      <c r="L322" s="3">
        <v>291</v>
      </c>
      <c r="M322">
        <v>0</v>
      </c>
    </row>
    <row r="323" spans="1:13">
      <c r="A323" s="3">
        <v>280</v>
      </c>
      <c r="B323">
        <v>5</v>
      </c>
      <c r="H323" s="3">
        <v>278</v>
      </c>
      <c r="I323">
        <v>6</v>
      </c>
      <c r="L323" s="3">
        <v>292</v>
      </c>
      <c r="M323">
        <v>3</v>
      </c>
    </row>
    <row r="324" spans="1:13">
      <c r="A324" s="3">
        <v>281</v>
      </c>
      <c r="B324">
        <v>5</v>
      </c>
      <c r="H324" s="3">
        <v>279</v>
      </c>
      <c r="I324">
        <v>6</v>
      </c>
      <c r="L324" s="3">
        <v>293</v>
      </c>
      <c r="M324">
        <v>3</v>
      </c>
    </row>
    <row r="325" spans="1:13">
      <c r="A325" s="3">
        <v>282</v>
      </c>
      <c r="B325">
        <v>5</v>
      </c>
      <c r="H325" s="3">
        <v>280</v>
      </c>
      <c r="I325">
        <v>6</v>
      </c>
      <c r="L325" s="3">
        <v>294</v>
      </c>
      <c r="M325">
        <v>1</v>
      </c>
    </row>
    <row r="326" spans="1:13">
      <c r="A326" s="3">
        <v>283</v>
      </c>
      <c r="B326">
        <v>2</v>
      </c>
      <c r="H326" s="3">
        <v>281</v>
      </c>
      <c r="I326">
        <v>6</v>
      </c>
      <c r="L326" s="3">
        <v>295</v>
      </c>
      <c r="M326">
        <v>6</v>
      </c>
    </row>
    <row r="327" spans="1:13">
      <c r="A327" s="3">
        <v>284</v>
      </c>
      <c r="B327">
        <v>5</v>
      </c>
      <c r="H327" s="3">
        <v>282</v>
      </c>
      <c r="I327">
        <v>6</v>
      </c>
      <c r="L327" s="3">
        <v>296</v>
      </c>
      <c r="M327">
        <v>1</v>
      </c>
    </row>
    <row r="328" spans="1:13">
      <c r="A328" s="3">
        <v>285</v>
      </c>
      <c r="B328">
        <v>5</v>
      </c>
      <c r="H328" s="3">
        <v>283</v>
      </c>
      <c r="I328">
        <v>6</v>
      </c>
      <c r="L328" s="3">
        <v>297</v>
      </c>
      <c r="M328">
        <v>6</v>
      </c>
    </row>
    <row r="329" spans="1:13">
      <c r="A329" s="3">
        <v>286</v>
      </c>
      <c r="B329">
        <v>5</v>
      </c>
      <c r="H329" s="3">
        <v>284</v>
      </c>
      <c r="I329">
        <v>7</v>
      </c>
      <c r="L329" s="3">
        <v>298</v>
      </c>
      <c r="M329">
        <v>10</v>
      </c>
    </row>
    <row r="330" spans="1:13">
      <c r="A330" s="3">
        <v>287</v>
      </c>
      <c r="B330">
        <v>4.5</v>
      </c>
      <c r="H330" s="3">
        <v>285</v>
      </c>
      <c r="I330">
        <v>8</v>
      </c>
      <c r="L330" s="3">
        <v>299</v>
      </c>
      <c r="M330">
        <v>5</v>
      </c>
    </row>
    <row r="331" spans="1:13">
      <c r="A331" s="3">
        <v>288</v>
      </c>
      <c r="B331">
        <v>4.5</v>
      </c>
      <c r="H331" s="3">
        <v>286</v>
      </c>
      <c r="I331">
        <v>8</v>
      </c>
      <c r="L331" s="3">
        <v>300</v>
      </c>
      <c r="M331">
        <v>7</v>
      </c>
    </row>
    <row r="332" spans="1:13">
      <c r="A332" s="3">
        <v>289</v>
      </c>
      <c r="B332">
        <v>5</v>
      </c>
      <c r="H332" s="3">
        <v>287</v>
      </c>
      <c r="I332">
        <v>6</v>
      </c>
      <c r="L332" s="3">
        <v>301</v>
      </c>
      <c r="M332">
        <v>1</v>
      </c>
    </row>
    <row r="333" spans="1:13">
      <c r="A333" s="3">
        <v>290</v>
      </c>
      <c r="B333">
        <v>4.5</v>
      </c>
      <c r="H333" s="3">
        <v>288</v>
      </c>
      <c r="I333">
        <v>9</v>
      </c>
      <c r="L333" s="3">
        <v>302</v>
      </c>
      <c r="M333">
        <v>50</v>
      </c>
    </row>
    <row r="334" spans="1:13">
      <c r="A334" s="3">
        <v>291</v>
      </c>
      <c r="B334">
        <v>5</v>
      </c>
      <c r="H334" s="3">
        <v>289</v>
      </c>
      <c r="I334">
        <v>6</v>
      </c>
      <c r="L334" s="3">
        <v>303</v>
      </c>
      <c r="M334">
        <v>6</v>
      </c>
    </row>
    <row r="335" spans="1:13">
      <c r="A335" s="3">
        <v>292</v>
      </c>
      <c r="B335">
        <v>5</v>
      </c>
      <c r="H335" s="3">
        <v>290</v>
      </c>
      <c r="I335">
        <v>8</v>
      </c>
      <c r="L335" s="3">
        <v>304</v>
      </c>
      <c r="M335">
        <v>3</v>
      </c>
    </row>
    <row r="336" spans="1:13">
      <c r="A336" s="3">
        <v>293</v>
      </c>
      <c r="B336">
        <v>5</v>
      </c>
      <c r="H336" s="3">
        <v>291</v>
      </c>
      <c r="I336">
        <v>8</v>
      </c>
      <c r="L336" s="3">
        <v>305</v>
      </c>
      <c r="M336">
        <v>3</v>
      </c>
    </row>
    <row r="337" spans="1:13">
      <c r="A337" s="3">
        <v>294</v>
      </c>
      <c r="B337">
        <v>2</v>
      </c>
      <c r="H337" s="3">
        <v>292</v>
      </c>
      <c r="I337">
        <v>7</v>
      </c>
      <c r="L337" s="3">
        <v>306</v>
      </c>
      <c r="M337">
        <v>6</v>
      </c>
    </row>
    <row r="338" spans="1:13">
      <c r="A338" s="3">
        <v>295</v>
      </c>
      <c r="B338">
        <v>4.5</v>
      </c>
      <c r="H338" s="3">
        <v>293</v>
      </c>
      <c r="I338">
        <v>10</v>
      </c>
      <c r="L338" s="3">
        <v>307</v>
      </c>
      <c r="M338">
        <v>4</v>
      </c>
    </row>
    <row r="339" spans="1:13">
      <c r="A339" s="3">
        <v>296</v>
      </c>
      <c r="B339">
        <v>3</v>
      </c>
      <c r="H339" s="3">
        <v>294</v>
      </c>
      <c r="I339">
        <v>8</v>
      </c>
      <c r="L339" s="3">
        <v>308</v>
      </c>
      <c r="M339">
        <v>10</v>
      </c>
    </row>
    <row r="340" spans="1:13">
      <c r="A340" s="3">
        <v>297</v>
      </c>
      <c r="B340">
        <v>4.5</v>
      </c>
      <c r="H340" s="3">
        <v>295</v>
      </c>
      <c r="I340">
        <v>9</v>
      </c>
      <c r="L340" s="3">
        <v>309</v>
      </c>
      <c r="M340">
        <v>4</v>
      </c>
    </row>
    <row r="341" spans="1:13">
      <c r="A341" s="3">
        <v>298</v>
      </c>
      <c r="B341">
        <v>4.5</v>
      </c>
      <c r="H341" s="3">
        <v>296</v>
      </c>
      <c r="I341">
        <v>9</v>
      </c>
      <c r="L341" s="3">
        <v>310</v>
      </c>
      <c r="M341">
        <v>98</v>
      </c>
    </row>
    <row r="342" spans="1:13">
      <c r="A342" s="3">
        <v>299</v>
      </c>
      <c r="B342">
        <v>5</v>
      </c>
      <c r="H342" s="3">
        <v>297</v>
      </c>
      <c r="I342">
        <v>9</v>
      </c>
      <c r="L342" s="3">
        <v>311</v>
      </c>
      <c r="M342">
        <v>7</v>
      </c>
    </row>
    <row r="343" spans="1:13">
      <c r="A343" s="3">
        <v>300</v>
      </c>
      <c r="B343">
        <v>3</v>
      </c>
      <c r="H343" s="3">
        <v>298</v>
      </c>
      <c r="I343">
        <v>6</v>
      </c>
      <c r="L343" s="3">
        <v>312</v>
      </c>
      <c r="M343">
        <v>0</v>
      </c>
    </row>
    <row r="344" spans="1:13">
      <c r="A344" s="3">
        <v>301</v>
      </c>
      <c r="B344">
        <v>5</v>
      </c>
      <c r="H344" s="3">
        <v>299</v>
      </c>
      <c r="I344">
        <v>10</v>
      </c>
      <c r="L344" s="3">
        <v>313</v>
      </c>
      <c r="M344">
        <v>4</v>
      </c>
    </row>
    <row r="345" spans="1:13">
      <c r="A345" s="3">
        <v>302</v>
      </c>
      <c r="B345">
        <v>5</v>
      </c>
      <c r="H345" s="3">
        <v>300</v>
      </c>
      <c r="I345">
        <v>9</v>
      </c>
      <c r="L345" s="3">
        <v>314</v>
      </c>
      <c r="M345">
        <v>5</v>
      </c>
    </row>
    <row r="346" spans="1:13">
      <c r="A346" s="3">
        <v>303</v>
      </c>
      <c r="B346">
        <v>4.5</v>
      </c>
      <c r="H346" s="3">
        <v>301</v>
      </c>
      <c r="I346">
        <v>8</v>
      </c>
      <c r="L346" s="3">
        <v>315</v>
      </c>
      <c r="M346">
        <v>9</v>
      </c>
    </row>
    <row r="347" spans="1:13">
      <c r="A347" s="3">
        <v>304</v>
      </c>
      <c r="B347">
        <v>1</v>
      </c>
      <c r="H347" s="3">
        <v>302</v>
      </c>
      <c r="I347">
        <v>6</v>
      </c>
      <c r="L347" s="3">
        <v>316</v>
      </c>
      <c r="M347">
        <v>17</v>
      </c>
    </row>
    <row r="348" spans="1:13">
      <c r="A348" s="3">
        <v>305</v>
      </c>
      <c r="B348">
        <v>4.5</v>
      </c>
      <c r="H348" s="3">
        <v>303</v>
      </c>
      <c r="I348">
        <v>6</v>
      </c>
      <c r="L348" s="3">
        <v>317</v>
      </c>
      <c r="M348">
        <v>1</v>
      </c>
    </row>
    <row r="349" spans="1:13">
      <c r="A349" s="3">
        <v>306</v>
      </c>
      <c r="B349">
        <v>3</v>
      </c>
      <c r="H349" s="3">
        <v>304</v>
      </c>
      <c r="I349">
        <v>8</v>
      </c>
      <c r="L349" s="3">
        <v>318</v>
      </c>
      <c r="M349">
        <v>5</v>
      </c>
    </row>
    <row r="350" spans="1:13">
      <c r="A350" s="3">
        <v>307</v>
      </c>
      <c r="B350">
        <v>1</v>
      </c>
      <c r="H350" s="3">
        <v>305</v>
      </c>
      <c r="I350">
        <v>8</v>
      </c>
      <c r="L350" s="3">
        <v>319</v>
      </c>
      <c r="M350">
        <v>2</v>
      </c>
    </row>
    <row r="351" spans="1:13">
      <c r="A351" s="3">
        <v>308</v>
      </c>
      <c r="B351">
        <v>3</v>
      </c>
      <c r="H351" s="3">
        <v>306</v>
      </c>
      <c r="I351">
        <v>7</v>
      </c>
      <c r="L351" s="3">
        <v>320</v>
      </c>
      <c r="M351">
        <v>45</v>
      </c>
    </row>
    <row r="352" spans="1:13">
      <c r="A352" s="3">
        <v>309</v>
      </c>
      <c r="B352">
        <v>5</v>
      </c>
      <c r="H352" s="3">
        <v>307</v>
      </c>
      <c r="I352">
        <v>7</v>
      </c>
      <c r="L352" s="3">
        <v>321</v>
      </c>
      <c r="M352">
        <v>5</v>
      </c>
    </row>
    <row r="353" spans="1:13">
      <c r="A353" s="3">
        <v>310</v>
      </c>
      <c r="B353">
        <v>3</v>
      </c>
      <c r="H353" s="3">
        <v>308</v>
      </c>
      <c r="I353">
        <v>7</v>
      </c>
      <c r="L353" s="3">
        <v>322</v>
      </c>
      <c r="M353">
        <v>10</v>
      </c>
    </row>
    <row r="354" spans="1:13">
      <c r="A354" s="3">
        <v>311</v>
      </c>
      <c r="B354">
        <v>3</v>
      </c>
      <c r="H354" s="3">
        <v>309</v>
      </c>
      <c r="I354">
        <v>9</v>
      </c>
      <c r="L354" s="3">
        <v>323</v>
      </c>
      <c r="M354">
        <v>15</v>
      </c>
    </row>
    <row r="355" spans="1:13">
      <c r="A355" s="3">
        <v>312</v>
      </c>
      <c r="B355">
        <v>4.5</v>
      </c>
      <c r="H355" s="3">
        <v>310</v>
      </c>
      <c r="I355">
        <v>6</v>
      </c>
      <c r="L355" s="3">
        <v>324</v>
      </c>
      <c r="M355">
        <v>10</v>
      </c>
    </row>
    <row r="356" spans="1:13">
      <c r="A356" s="3">
        <v>313</v>
      </c>
      <c r="B356">
        <v>5</v>
      </c>
      <c r="H356" s="3">
        <v>311</v>
      </c>
      <c r="I356">
        <v>9</v>
      </c>
      <c r="L356" s="3">
        <v>325</v>
      </c>
      <c r="M356">
        <v>9</v>
      </c>
    </row>
    <row r="357" spans="1:13">
      <c r="A357" s="3">
        <v>314</v>
      </c>
      <c r="B357">
        <v>5</v>
      </c>
      <c r="H357" s="3">
        <v>312</v>
      </c>
      <c r="I357">
        <v>8</v>
      </c>
      <c r="L357" s="3">
        <v>326</v>
      </c>
      <c r="M357">
        <v>4</v>
      </c>
    </row>
    <row r="358" spans="1:13">
      <c r="A358" s="3">
        <v>315</v>
      </c>
      <c r="B358">
        <v>2</v>
      </c>
      <c r="H358" s="3">
        <v>313</v>
      </c>
      <c r="I358">
        <v>5</v>
      </c>
      <c r="L358" s="3">
        <v>327</v>
      </c>
      <c r="M358">
        <v>5</v>
      </c>
    </row>
    <row r="359" spans="1:13">
      <c r="A359" s="3">
        <v>316</v>
      </c>
      <c r="B359">
        <v>4.5</v>
      </c>
      <c r="H359" s="3">
        <v>314</v>
      </c>
      <c r="I359">
        <v>6</v>
      </c>
      <c r="L359" s="3">
        <v>328</v>
      </c>
      <c r="M359">
        <v>14</v>
      </c>
    </row>
    <row r="360" spans="1:13">
      <c r="A360" s="3">
        <v>317</v>
      </c>
      <c r="B360">
        <v>1</v>
      </c>
      <c r="H360" s="3">
        <v>315</v>
      </c>
      <c r="I360">
        <v>7</v>
      </c>
      <c r="L360" s="3">
        <v>329</v>
      </c>
      <c r="M360">
        <v>3</v>
      </c>
    </row>
    <row r="361" spans="1:13">
      <c r="A361" s="3">
        <v>318</v>
      </c>
      <c r="B361">
        <v>4.5</v>
      </c>
      <c r="H361" s="3">
        <v>316</v>
      </c>
      <c r="I361">
        <v>9</v>
      </c>
      <c r="L361" s="3">
        <v>330</v>
      </c>
      <c r="M361">
        <v>9</v>
      </c>
    </row>
    <row r="362" spans="1:13">
      <c r="A362" s="3">
        <v>319</v>
      </c>
      <c r="B362">
        <v>5</v>
      </c>
      <c r="H362" s="3">
        <v>317</v>
      </c>
      <c r="I362">
        <v>5</v>
      </c>
      <c r="L362" s="3">
        <v>331</v>
      </c>
      <c r="M362">
        <v>10</v>
      </c>
    </row>
    <row r="363" spans="1:13">
      <c r="A363" s="3">
        <v>320</v>
      </c>
      <c r="B363">
        <v>1</v>
      </c>
      <c r="H363" s="3">
        <v>318</v>
      </c>
      <c r="I363">
        <v>8</v>
      </c>
      <c r="L363" s="3">
        <v>332</v>
      </c>
      <c r="M363">
        <v>9</v>
      </c>
    </row>
    <row r="364" spans="1:13">
      <c r="A364" s="3">
        <v>321</v>
      </c>
      <c r="B364">
        <v>3</v>
      </c>
      <c r="H364" s="3">
        <v>319</v>
      </c>
      <c r="I364">
        <v>7</v>
      </c>
      <c r="L364" s="3">
        <v>333</v>
      </c>
      <c r="M364">
        <v>0</v>
      </c>
    </row>
    <row r="365" spans="1:13">
      <c r="A365" s="3">
        <v>322</v>
      </c>
      <c r="B365">
        <v>3</v>
      </c>
      <c r="H365" s="3">
        <v>320</v>
      </c>
      <c r="I365">
        <v>8</v>
      </c>
      <c r="L365" s="3">
        <v>334</v>
      </c>
      <c r="M365">
        <v>7</v>
      </c>
    </row>
    <row r="366" spans="1:13">
      <c r="A366" s="3">
        <v>323</v>
      </c>
      <c r="B366">
        <v>1</v>
      </c>
      <c r="H366" s="3">
        <v>321</v>
      </c>
      <c r="I366">
        <v>9</v>
      </c>
      <c r="L366" s="3">
        <v>335</v>
      </c>
      <c r="M366">
        <v>10</v>
      </c>
    </row>
    <row r="367" spans="1:13">
      <c r="A367" s="3">
        <v>324</v>
      </c>
      <c r="B367">
        <v>3</v>
      </c>
      <c r="H367" s="3">
        <v>322</v>
      </c>
      <c r="I367">
        <v>7</v>
      </c>
      <c r="L367" s="3">
        <v>336</v>
      </c>
      <c r="M367">
        <v>6</v>
      </c>
    </row>
    <row r="368" spans="1:13">
      <c r="A368" s="3">
        <v>325</v>
      </c>
      <c r="B368">
        <v>2</v>
      </c>
      <c r="H368" s="3">
        <v>323</v>
      </c>
      <c r="I368">
        <v>6</v>
      </c>
      <c r="L368" s="3">
        <v>337</v>
      </c>
      <c r="M368">
        <v>1</v>
      </c>
    </row>
    <row r="369" spans="1:13">
      <c r="A369" s="3">
        <v>326</v>
      </c>
      <c r="B369">
        <v>2</v>
      </c>
      <c r="H369" s="3">
        <v>324</v>
      </c>
      <c r="I369">
        <v>5</v>
      </c>
      <c r="L369" s="3">
        <v>338</v>
      </c>
      <c r="M369">
        <v>7</v>
      </c>
    </row>
    <row r="370" spans="1:13">
      <c r="A370" s="3">
        <v>327</v>
      </c>
      <c r="B370">
        <v>3</v>
      </c>
      <c r="H370" s="3">
        <v>325</v>
      </c>
      <c r="I370">
        <v>8</v>
      </c>
      <c r="L370" s="3">
        <v>339</v>
      </c>
      <c r="M370">
        <v>9</v>
      </c>
    </row>
    <row r="371" spans="1:13">
      <c r="A371" s="3">
        <v>328</v>
      </c>
      <c r="B371">
        <v>5</v>
      </c>
      <c r="H371" s="3">
        <v>326</v>
      </c>
      <c r="I371">
        <v>7</v>
      </c>
      <c r="L371" s="3">
        <v>340</v>
      </c>
      <c r="M371">
        <v>15</v>
      </c>
    </row>
    <row r="372" spans="1:13">
      <c r="A372" s="3">
        <v>329</v>
      </c>
      <c r="B372">
        <v>5</v>
      </c>
      <c r="H372" s="3">
        <v>327</v>
      </c>
      <c r="I372">
        <v>6</v>
      </c>
      <c r="L372" s="3">
        <v>341</v>
      </c>
      <c r="M372">
        <v>8</v>
      </c>
    </row>
    <row r="373" spans="1:13">
      <c r="A373" s="3">
        <v>330</v>
      </c>
      <c r="B373">
        <v>3</v>
      </c>
      <c r="H373" s="3">
        <v>328</v>
      </c>
      <c r="I373">
        <v>7</v>
      </c>
      <c r="L373" s="3">
        <v>342</v>
      </c>
      <c r="M373">
        <v>2</v>
      </c>
    </row>
    <row r="374" spans="1:13">
      <c r="A374" s="3">
        <v>331</v>
      </c>
      <c r="B374">
        <v>2</v>
      </c>
      <c r="H374" s="3">
        <v>329</v>
      </c>
      <c r="I374">
        <v>7</v>
      </c>
      <c r="L374" s="3">
        <v>343</v>
      </c>
      <c r="M374">
        <v>71</v>
      </c>
    </row>
    <row r="375" spans="1:13">
      <c r="A375" s="3">
        <v>332</v>
      </c>
      <c r="B375">
        <v>1</v>
      </c>
      <c r="H375" s="3">
        <v>330</v>
      </c>
      <c r="I375">
        <v>8</v>
      </c>
      <c r="L375" s="3">
        <v>344</v>
      </c>
      <c r="M375">
        <v>2</v>
      </c>
    </row>
    <row r="376" spans="1:13">
      <c r="A376" s="3">
        <v>333</v>
      </c>
      <c r="B376">
        <v>4.5</v>
      </c>
      <c r="H376" s="3">
        <v>331</v>
      </c>
      <c r="I376">
        <v>7</v>
      </c>
      <c r="L376" s="3">
        <v>345</v>
      </c>
      <c r="M376">
        <v>0</v>
      </c>
    </row>
    <row r="377" spans="1:13">
      <c r="A377" s="3">
        <v>334</v>
      </c>
      <c r="B377">
        <v>4.5</v>
      </c>
      <c r="H377" s="3">
        <v>332</v>
      </c>
      <c r="I377">
        <v>8</v>
      </c>
      <c r="L377" s="3">
        <v>346</v>
      </c>
      <c r="M377">
        <v>7</v>
      </c>
    </row>
    <row r="378" spans="1:13">
      <c r="A378" s="3">
        <v>335</v>
      </c>
      <c r="B378">
        <v>5</v>
      </c>
      <c r="H378" s="3">
        <v>333</v>
      </c>
      <c r="I378">
        <v>6</v>
      </c>
      <c r="L378" s="3">
        <v>347</v>
      </c>
      <c r="M378">
        <v>0</v>
      </c>
    </row>
    <row r="379" spans="1:13">
      <c r="A379" s="3">
        <v>336</v>
      </c>
      <c r="B379">
        <v>1</v>
      </c>
      <c r="H379" s="3">
        <v>334</v>
      </c>
      <c r="I379">
        <v>7</v>
      </c>
      <c r="L379" s="3">
        <v>348</v>
      </c>
      <c r="M379">
        <v>10</v>
      </c>
    </row>
    <row r="380" spans="1:13">
      <c r="A380" s="3">
        <v>337</v>
      </c>
      <c r="B380">
        <v>4.5</v>
      </c>
      <c r="H380" s="3">
        <v>335</v>
      </c>
      <c r="I380">
        <v>8</v>
      </c>
      <c r="L380" s="3">
        <v>349</v>
      </c>
      <c r="M380">
        <v>6</v>
      </c>
    </row>
    <row r="381" spans="1:13">
      <c r="A381" s="3">
        <v>338</v>
      </c>
      <c r="B381">
        <v>3</v>
      </c>
      <c r="H381" s="3">
        <v>336</v>
      </c>
      <c r="I381">
        <v>5</v>
      </c>
      <c r="L381" s="3">
        <v>350</v>
      </c>
      <c r="M381">
        <v>4</v>
      </c>
    </row>
    <row r="382" spans="1:13">
      <c r="A382" s="3">
        <v>339</v>
      </c>
      <c r="B382">
        <v>4.5</v>
      </c>
      <c r="H382" s="3">
        <v>337</v>
      </c>
      <c r="I382">
        <v>7</v>
      </c>
      <c r="L382" s="3">
        <v>351</v>
      </c>
      <c r="M382">
        <v>8</v>
      </c>
    </row>
    <row r="383" spans="1:13">
      <c r="A383" s="3">
        <v>340</v>
      </c>
      <c r="B383">
        <v>4.5</v>
      </c>
      <c r="H383" s="3">
        <v>338</v>
      </c>
      <c r="I383">
        <v>7</v>
      </c>
      <c r="L383" s="3">
        <v>352</v>
      </c>
      <c r="M383">
        <v>2</v>
      </c>
    </row>
    <row r="384" spans="1:13">
      <c r="A384" s="3">
        <v>341</v>
      </c>
      <c r="B384">
        <v>5</v>
      </c>
      <c r="H384" s="3">
        <v>339</v>
      </c>
      <c r="I384">
        <v>9</v>
      </c>
      <c r="L384" s="3">
        <v>353</v>
      </c>
      <c r="M384">
        <v>0</v>
      </c>
    </row>
    <row r="385" spans="1:13">
      <c r="A385" s="3">
        <v>342</v>
      </c>
      <c r="B385">
        <v>5</v>
      </c>
      <c r="H385" s="3">
        <v>340</v>
      </c>
      <c r="I385">
        <v>7</v>
      </c>
      <c r="L385" s="3">
        <v>354</v>
      </c>
      <c r="M385">
        <v>31</v>
      </c>
    </row>
    <row r="386" spans="1:13">
      <c r="A386" s="3">
        <v>343</v>
      </c>
      <c r="B386">
        <v>3</v>
      </c>
      <c r="H386" s="3">
        <v>341</v>
      </c>
      <c r="I386">
        <v>5</v>
      </c>
      <c r="L386" s="3">
        <v>355</v>
      </c>
      <c r="M386">
        <v>13</v>
      </c>
    </row>
    <row r="387" spans="1:13">
      <c r="A387" s="3">
        <v>344</v>
      </c>
      <c r="B387">
        <v>3</v>
      </c>
      <c r="H387" s="3">
        <v>342</v>
      </c>
      <c r="I387">
        <v>9</v>
      </c>
      <c r="L387" s="3">
        <v>356</v>
      </c>
      <c r="M387">
        <v>10</v>
      </c>
    </row>
    <row r="388" spans="1:13">
      <c r="A388" s="3">
        <v>345</v>
      </c>
      <c r="B388">
        <v>5</v>
      </c>
      <c r="H388" s="3">
        <v>343</v>
      </c>
      <c r="I388">
        <v>6</v>
      </c>
      <c r="L388" s="3">
        <v>357</v>
      </c>
      <c r="M388">
        <v>2</v>
      </c>
    </row>
    <row r="389" spans="1:13">
      <c r="A389" s="3">
        <v>346</v>
      </c>
      <c r="B389">
        <v>3</v>
      </c>
      <c r="H389" s="3">
        <v>344</v>
      </c>
      <c r="I389">
        <v>8</v>
      </c>
      <c r="L389" s="3">
        <v>358</v>
      </c>
      <c r="M389">
        <v>3</v>
      </c>
    </row>
    <row r="390" spans="1:13">
      <c r="A390" s="3">
        <v>347</v>
      </c>
      <c r="B390">
        <v>3</v>
      </c>
      <c r="H390" s="3">
        <v>345</v>
      </c>
      <c r="I390">
        <v>9</v>
      </c>
      <c r="L390" s="3">
        <v>359</v>
      </c>
      <c r="M390">
        <v>9</v>
      </c>
    </row>
    <row r="391" spans="1:13">
      <c r="A391" s="3">
        <v>348</v>
      </c>
      <c r="B391">
        <v>5</v>
      </c>
      <c r="H391" s="3">
        <v>346</v>
      </c>
      <c r="I391">
        <v>7</v>
      </c>
      <c r="L391" s="3">
        <v>360</v>
      </c>
      <c r="M391">
        <v>3</v>
      </c>
    </row>
    <row r="392" spans="1:13">
      <c r="A392" s="3">
        <v>349</v>
      </c>
      <c r="B392">
        <v>4.5</v>
      </c>
      <c r="H392" s="3">
        <v>347</v>
      </c>
      <c r="I392">
        <v>7</v>
      </c>
      <c r="L392" s="3">
        <v>361</v>
      </c>
      <c r="M392">
        <v>4</v>
      </c>
    </row>
    <row r="393" spans="1:13">
      <c r="A393" s="3">
        <v>350</v>
      </c>
      <c r="B393">
        <v>3</v>
      </c>
      <c r="H393" s="3">
        <v>348</v>
      </c>
      <c r="I393">
        <v>7</v>
      </c>
      <c r="L393" s="3">
        <v>362</v>
      </c>
      <c r="M393">
        <v>9</v>
      </c>
    </row>
    <row r="394" spans="1:13">
      <c r="A394" s="3">
        <v>351</v>
      </c>
      <c r="B394">
        <v>4.5</v>
      </c>
      <c r="H394" s="3">
        <v>349</v>
      </c>
      <c r="I394">
        <v>7</v>
      </c>
      <c r="L394" s="3">
        <v>363</v>
      </c>
      <c r="M394">
        <v>14</v>
      </c>
    </row>
    <row r="395" spans="1:13">
      <c r="A395" s="3">
        <v>352</v>
      </c>
      <c r="B395">
        <v>3</v>
      </c>
      <c r="H395" s="3">
        <v>350</v>
      </c>
      <c r="I395">
        <v>6</v>
      </c>
      <c r="L395" s="3">
        <v>364</v>
      </c>
      <c r="M395">
        <v>0</v>
      </c>
    </row>
    <row r="396" spans="1:13">
      <c r="A396" s="3">
        <v>353</v>
      </c>
      <c r="B396">
        <v>3</v>
      </c>
      <c r="H396" s="3">
        <v>351</v>
      </c>
      <c r="I396">
        <v>5</v>
      </c>
      <c r="L396" s="3">
        <v>365</v>
      </c>
      <c r="M396">
        <v>1</v>
      </c>
    </row>
    <row r="397" spans="1:13">
      <c r="A397" s="3">
        <v>354</v>
      </c>
      <c r="B397">
        <v>3</v>
      </c>
      <c r="H397" s="3">
        <v>352</v>
      </c>
      <c r="I397">
        <v>9</v>
      </c>
      <c r="L397" s="3">
        <v>366</v>
      </c>
      <c r="M397">
        <v>8</v>
      </c>
    </row>
    <row r="398" spans="1:13">
      <c r="A398" s="3">
        <v>355</v>
      </c>
      <c r="B398">
        <v>2</v>
      </c>
      <c r="H398" s="3">
        <v>353</v>
      </c>
      <c r="I398">
        <v>7</v>
      </c>
      <c r="L398" s="3">
        <v>367</v>
      </c>
      <c r="M398">
        <v>12</v>
      </c>
    </row>
    <row r="399" spans="1:13">
      <c r="A399" s="3">
        <v>356</v>
      </c>
      <c r="B399">
        <v>3</v>
      </c>
      <c r="H399" s="3">
        <v>354</v>
      </c>
      <c r="I399">
        <v>5</v>
      </c>
      <c r="L399" s="3">
        <v>368</v>
      </c>
      <c r="M399">
        <v>8</v>
      </c>
    </row>
    <row r="400" spans="1:13">
      <c r="A400" s="3">
        <v>357</v>
      </c>
      <c r="B400">
        <v>3</v>
      </c>
      <c r="H400" s="3">
        <v>355</v>
      </c>
      <c r="I400">
        <v>8</v>
      </c>
      <c r="L400" s="3">
        <v>369</v>
      </c>
      <c r="M400">
        <v>7</v>
      </c>
    </row>
    <row r="401" spans="1:13">
      <c r="A401" s="3">
        <v>358</v>
      </c>
      <c r="B401">
        <v>5</v>
      </c>
      <c r="H401" s="3">
        <v>356</v>
      </c>
      <c r="I401">
        <v>7</v>
      </c>
      <c r="L401" s="3">
        <v>370</v>
      </c>
      <c r="M401">
        <v>13</v>
      </c>
    </row>
    <row r="402" spans="1:13">
      <c r="A402" s="3">
        <v>359</v>
      </c>
      <c r="B402">
        <v>5</v>
      </c>
      <c r="H402" s="3">
        <v>357</v>
      </c>
      <c r="I402">
        <v>10</v>
      </c>
      <c r="L402" s="3">
        <v>371</v>
      </c>
      <c r="M402">
        <v>8</v>
      </c>
    </row>
    <row r="403" spans="1:13">
      <c r="A403" s="3">
        <v>360</v>
      </c>
      <c r="B403">
        <v>5</v>
      </c>
      <c r="H403" s="3">
        <v>358</v>
      </c>
      <c r="I403">
        <v>9</v>
      </c>
      <c r="L403" s="3">
        <v>372</v>
      </c>
      <c r="M403">
        <v>50</v>
      </c>
    </row>
    <row r="404" spans="1:13">
      <c r="A404" s="3">
        <v>361</v>
      </c>
      <c r="B404">
        <v>3</v>
      </c>
      <c r="H404" s="3">
        <v>359</v>
      </c>
      <c r="I404">
        <v>6</v>
      </c>
      <c r="L404" s="3">
        <v>373</v>
      </c>
      <c r="M404">
        <v>1</v>
      </c>
    </row>
    <row r="405" spans="1:13">
      <c r="A405" s="3">
        <v>362</v>
      </c>
      <c r="B405">
        <v>4.5</v>
      </c>
      <c r="H405" s="3">
        <v>360</v>
      </c>
      <c r="I405">
        <v>6</v>
      </c>
      <c r="L405" s="3">
        <v>374</v>
      </c>
      <c r="M405">
        <v>35</v>
      </c>
    </row>
    <row r="406" spans="1:13">
      <c r="A406" s="3">
        <v>363</v>
      </c>
      <c r="B406">
        <v>3</v>
      </c>
      <c r="H406" s="3">
        <v>361</v>
      </c>
      <c r="I406">
        <v>8</v>
      </c>
      <c r="L406" s="3">
        <v>375</v>
      </c>
      <c r="M406">
        <v>6</v>
      </c>
    </row>
    <row r="407" spans="1:13">
      <c r="A407" s="3">
        <v>364</v>
      </c>
      <c r="B407">
        <v>3</v>
      </c>
      <c r="H407" s="3">
        <v>362</v>
      </c>
      <c r="I407">
        <v>7</v>
      </c>
      <c r="L407" s="3">
        <v>376</v>
      </c>
      <c r="M407">
        <v>10</v>
      </c>
    </row>
    <row r="408" spans="1:13">
      <c r="A408" s="3">
        <v>365</v>
      </c>
      <c r="B408">
        <v>3</v>
      </c>
      <c r="H408" s="3">
        <v>363</v>
      </c>
      <c r="I408">
        <v>6</v>
      </c>
      <c r="L408" s="3">
        <v>377</v>
      </c>
      <c r="M408">
        <v>3</v>
      </c>
    </row>
    <row r="409" spans="1:13">
      <c r="A409" s="3">
        <v>366</v>
      </c>
      <c r="B409">
        <v>3</v>
      </c>
      <c r="H409" s="3">
        <v>364</v>
      </c>
      <c r="I409">
        <v>7</v>
      </c>
      <c r="L409" s="3">
        <v>378</v>
      </c>
      <c r="M409">
        <v>5</v>
      </c>
    </row>
    <row r="410" spans="1:13">
      <c r="A410" s="3">
        <v>367</v>
      </c>
      <c r="B410">
        <v>3</v>
      </c>
      <c r="H410" s="3">
        <v>365</v>
      </c>
      <c r="I410">
        <v>7</v>
      </c>
      <c r="L410" s="3">
        <v>379</v>
      </c>
      <c r="M410">
        <v>11</v>
      </c>
    </row>
    <row r="411" spans="1:13">
      <c r="A411" s="3">
        <v>368</v>
      </c>
      <c r="B411">
        <v>2</v>
      </c>
      <c r="H411" s="3">
        <v>366</v>
      </c>
      <c r="I411">
        <v>5</v>
      </c>
      <c r="L411" s="3">
        <v>380</v>
      </c>
      <c r="M411">
        <v>7</v>
      </c>
    </row>
    <row r="412" spans="1:13">
      <c r="A412" s="3">
        <v>369</v>
      </c>
      <c r="B412">
        <v>4.5</v>
      </c>
      <c r="H412" s="3">
        <v>367</v>
      </c>
      <c r="I412">
        <v>6</v>
      </c>
      <c r="L412" s="3">
        <v>381</v>
      </c>
      <c r="M412">
        <v>8</v>
      </c>
    </row>
    <row r="413" spans="1:13">
      <c r="A413" s="3">
        <v>370</v>
      </c>
      <c r="B413">
        <v>5</v>
      </c>
      <c r="H413" s="3">
        <v>368</v>
      </c>
      <c r="I413">
        <v>5</v>
      </c>
      <c r="L413" s="3">
        <v>382</v>
      </c>
      <c r="M413">
        <v>12</v>
      </c>
    </row>
    <row r="414" spans="1:13">
      <c r="A414" s="3">
        <v>371</v>
      </c>
      <c r="B414">
        <v>2</v>
      </c>
      <c r="H414" s="3">
        <v>369</v>
      </c>
      <c r="I414">
        <v>6</v>
      </c>
      <c r="L414" s="3">
        <v>383</v>
      </c>
      <c r="M414">
        <v>10</v>
      </c>
    </row>
    <row r="415" spans="1:13">
      <c r="A415" s="3">
        <v>372</v>
      </c>
      <c r="B415">
        <v>3</v>
      </c>
      <c r="H415" s="3">
        <v>370</v>
      </c>
      <c r="I415">
        <v>8</v>
      </c>
      <c r="L415" s="3">
        <v>384</v>
      </c>
      <c r="M415">
        <v>5</v>
      </c>
    </row>
    <row r="416" spans="1:13">
      <c r="A416" s="3">
        <v>373</v>
      </c>
      <c r="B416">
        <v>3</v>
      </c>
      <c r="H416" s="3">
        <v>371</v>
      </c>
      <c r="I416">
        <v>7</v>
      </c>
      <c r="L416" s="3">
        <v>385</v>
      </c>
      <c r="M416">
        <v>9</v>
      </c>
    </row>
    <row r="417" spans="1:13">
      <c r="A417" s="3">
        <v>374</v>
      </c>
      <c r="B417">
        <v>5</v>
      </c>
      <c r="H417" s="3">
        <v>372</v>
      </c>
      <c r="I417">
        <v>6</v>
      </c>
      <c r="L417" s="3">
        <v>386</v>
      </c>
      <c r="M417">
        <v>8</v>
      </c>
    </row>
    <row r="418" spans="1:13">
      <c r="A418" s="3">
        <v>375</v>
      </c>
      <c r="B418">
        <v>5</v>
      </c>
      <c r="H418" s="3">
        <v>373</v>
      </c>
      <c r="I418">
        <v>7</v>
      </c>
      <c r="L418" s="3">
        <v>387</v>
      </c>
      <c r="M418">
        <v>10</v>
      </c>
    </row>
    <row r="419" spans="1:13">
      <c r="A419" s="3">
        <v>376</v>
      </c>
      <c r="B419">
        <v>3</v>
      </c>
      <c r="H419" s="3">
        <v>374</v>
      </c>
      <c r="I419">
        <v>6</v>
      </c>
      <c r="L419" s="3">
        <v>388</v>
      </c>
      <c r="M419">
        <v>2</v>
      </c>
    </row>
    <row r="420" spans="1:13">
      <c r="A420" s="3">
        <v>377</v>
      </c>
      <c r="B420">
        <v>3</v>
      </c>
      <c r="H420" s="3">
        <v>375</v>
      </c>
      <c r="I420">
        <v>6</v>
      </c>
      <c r="L420" s="3">
        <v>389</v>
      </c>
      <c r="M420">
        <v>0</v>
      </c>
    </row>
    <row r="421" spans="1:13">
      <c r="A421" s="3">
        <v>378</v>
      </c>
      <c r="B421">
        <v>2</v>
      </c>
      <c r="H421" s="3">
        <v>376</v>
      </c>
      <c r="I421">
        <v>8</v>
      </c>
      <c r="L421" s="3">
        <v>390</v>
      </c>
      <c r="M421">
        <v>7</v>
      </c>
    </row>
    <row r="422" spans="1:13">
      <c r="A422" s="3">
        <v>379</v>
      </c>
      <c r="B422">
        <v>5</v>
      </c>
      <c r="H422" s="3">
        <v>377</v>
      </c>
      <c r="I422">
        <v>6</v>
      </c>
      <c r="L422" s="3">
        <v>391</v>
      </c>
      <c r="M422">
        <v>8</v>
      </c>
    </row>
    <row r="423" spans="1:13">
      <c r="A423" s="3">
        <v>380</v>
      </c>
      <c r="B423">
        <v>4.5</v>
      </c>
      <c r="H423" s="3">
        <v>378</v>
      </c>
      <c r="I423">
        <v>6</v>
      </c>
      <c r="L423" s="3">
        <v>392</v>
      </c>
      <c r="M423">
        <v>8</v>
      </c>
    </row>
    <row r="424" spans="1:13">
      <c r="A424" s="3">
        <v>381</v>
      </c>
      <c r="B424">
        <v>4.5</v>
      </c>
      <c r="H424" s="3">
        <v>379</v>
      </c>
      <c r="I424">
        <v>5</v>
      </c>
      <c r="L424" s="3">
        <v>393</v>
      </c>
      <c r="M424">
        <v>6</v>
      </c>
    </row>
    <row r="425" spans="1:13">
      <c r="A425" s="3">
        <v>382</v>
      </c>
      <c r="B425">
        <v>5</v>
      </c>
      <c r="H425" s="3">
        <v>380</v>
      </c>
      <c r="I425">
        <v>9</v>
      </c>
      <c r="L425" s="3">
        <v>394</v>
      </c>
      <c r="M425">
        <v>5</v>
      </c>
    </row>
    <row r="426" spans="1:13">
      <c r="A426" s="3">
        <v>383</v>
      </c>
      <c r="B426">
        <v>4.5</v>
      </c>
      <c r="H426" s="3">
        <v>381</v>
      </c>
      <c r="I426">
        <v>7</v>
      </c>
      <c r="L426" s="3">
        <v>395</v>
      </c>
      <c r="M426">
        <v>0</v>
      </c>
    </row>
    <row r="427" spans="1:13">
      <c r="A427" s="3">
        <v>384</v>
      </c>
      <c r="B427">
        <v>3</v>
      </c>
      <c r="H427" s="3">
        <v>382</v>
      </c>
      <c r="I427">
        <v>6</v>
      </c>
      <c r="L427" s="3">
        <v>396</v>
      </c>
      <c r="M427">
        <v>4</v>
      </c>
    </row>
    <row r="428" spans="1:13">
      <c r="A428" s="3">
        <v>385</v>
      </c>
      <c r="B428">
        <v>2</v>
      </c>
      <c r="H428" s="3">
        <v>383</v>
      </c>
      <c r="I428">
        <v>9</v>
      </c>
      <c r="L428" s="3">
        <v>397</v>
      </c>
      <c r="M428">
        <v>3</v>
      </c>
    </row>
    <row r="429" spans="1:13">
      <c r="A429" s="3">
        <v>386</v>
      </c>
      <c r="B429">
        <v>5</v>
      </c>
      <c r="H429" s="3">
        <v>384</v>
      </c>
      <c r="I429">
        <v>6</v>
      </c>
      <c r="L429" s="3">
        <v>398</v>
      </c>
      <c r="M429">
        <v>0</v>
      </c>
    </row>
    <row r="430" spans="1:13">
      <c r="A430" s="3">
        <v>387</v>
      </c>
      <c r="B430">
        <v>5</v>
      </c>
      <c r="H430" s="3">
        <v>385</v>
      </c>
      <c r="I430">
        <v>7</v>
      </c>
      <c r="L430" s="3">
        <v>399</v>
      </c>
      <c r="M430">
        <v>10</v>
      </c>
    </row>
    <row r="431" spans="1:13">
      <c r="A431" s="3">
        <v>388</v>
      </c>
      <c r="B431">
        <v>1</v>
      </c>
      <c r="H431" s="3">
        <v>386</v>
      </c>
      <c r="I431">
        <v>7</v>
      </c>
      <c r="L431" s="3">
        <v>400</v>
      </c>
      <c r="M431">
        <v>0</v>
      </c>
    </row>
    <row r="432" spans="1:13">
      <c r="A432" s="3">
        <v>389</v>
      </c>
      <c r="B432">
        <v>2</v>
      </c>
      <c r="H432" s="3">
        <v>387</v>
      </c>
      <c r="I432">
        <v>7</v>
      </c>
      <c r="L432" s="3">
        <v>401</v>
      </c>
      <c r="M432">
        <v>1</v>
      </c>
    </row>
    <row r="433" spans="1:13">
      <c r="A433" s="3">
        <v>390</v>
      </c>
      <c r="B433">
        <v>4.5</v>
      </c>
      <c r="H433" s="3">
        <v>388</v>
      </c>
      <c r="I433">
        <v>6</v>
      </c>
      <c r="L433" s="3">
        <v>402</v>
      </c>
      <c r="M433">
        <v>8</v>
      </c>
    </row>
    <row r="434" spans="1:13">
      <c r="A434" s="3">
        <v>391</v>
      </c>
      <c r="B434">
        <v>4.5</v>
      </c>
      <c r="H434" s="3">
        <v>389</v>
      </c>
      <c r="I434">
        <v>6</v>
      </c>
      <c r="L434" s="3">
        <v>403</v>
      </c>
      <c r="M434">
        <v>3</v>
      </c>
    </row>
    <row r="435" spans="1:13">
      <c r="A435" s="3">
        <v>392</v>
      </c>
      <c r="B435">
        <v>2</v>
      </c>
      <c r="H435" s="3">
        <v>390</v>
      </c>
      <c r="I435">
        <v>6</v>
      </c>
      <c r="L435" s="3">
        <v>404</v>
      </c>
      <c r="M435">
        <v>0</v>
      </c>
    </row>
    <row r="436" spans="1:13">
      <c r="A436" s="3">
        <v>393</v>
      </c>
      <c r="B436">
        <v>3</v>
      </c>
      <c r="H436" s="3">
        <v>391</v>
      </c>
      <c r="I436">
        <v>9</v>
      </c>
      <c r="L436" s="3">
        <v>405</v>
      </c>
      <c r="M436">
        <v>45</v>
      </c>
    </row>
    <row r="437" spans="1:13">
      <c r="A437" s="3">
        <v>394</v>
      </c>
      <c r="B437">
        <v>3</v>
      </c>
      <c r="H437" s="3">
        <v>392</v>
      </c>
      <c r="I437">
        <v>9</v>
      </c>
      <c r="L437" s="3">
        <v>406</v>
      </c>
      <c r="M437">
        <v>5</v>
      </c>
    </row>
    <row r="438" spans="1:13">
      <c r="A438" s="3">
        <v>395</v>
      </c>
      <c r="B438">
        <v>3</v>
      </c>
      <c r="H438" s="3">
        <v>393</v>
      </c>
      <c r="I438">
        <v>8</v>
      </c>
      <c r="L438" s="3">
        <v>407</v>
      </c>
      <c r="M438">
        <v>9</v>
      </c>
    </row>
    <row r="439" spans="1:13">
      <c r="A439" s="3">
        <v>396</v>
      </c>
      <c r="B439">
        <v>3</v>
      </c>
      <c r="H439" s="3">
        <v>394</v>
      </c>
      <c r="I439">
        <v>6</v>
      </c>
      <c r="L439" s="3">
        <v>408</v>
      </c>
      <c r="M439">
        <v>3</v>
      </c>
    </row>
    <row r="440" spans="1:13">
      <c r="A440" s="3">
        <v>397</v>
      </c>
      <c r="B440">
        <v>5</v>
      </c>
      <c r="H440" s="3">
        <v>395</v>
      </c>
      <c r="I440">
        <v>5</v>
      </c>
      <c r="L440" s="3">
        <v>409</v>
      </c>
      <c r="M440">
        <v>4</v>
      </c>
    </row>
    <row r="441" spans="1:13">
      <c r="A441" s="3">
        <v>398</v>
      </c>
      <c r="B441">
        <v>3</v>
      </c>
      <c r="H441" s="3">
        <v>396</v>
      </c>
      <c r="I441">
        <v>7</v>
      </c>
      <c r="L441" s="3">
        <v>410</v>
      </c>
      <c r="M441">
        <v>6</v>
      </c>
    </row>
    <row r="442" spans="1:13">
      <c r="A442" s="3">
        <v>399</v>
      </c>
      <c r="B442">
        <v>5</v>
      </c>
      <c r="H442" s="3">
        <v>397</v>
      </c>
      <c r="I442">
        <v>9</v>
      </c>
      <c r="L442" s="3">
        <v>411</v>
      </c>
      <c r="M442">
        <v>12</v>
      </c>
    </row>
    <row r="443" spans="1:13">
      <c r="A443" s="3">
        <v>400</v>
      </c>
      <c r="B443">
        <v>5</v>
      </c>
      <c r="H443" s="3">
        <v>398</v>
      </c>
      <c r="I443">
        <v>8</v>
      </c>
      <c r="L443" s="3">
        <v>412</v>
      </c>
      <c r="M443">
        <v>4</v>
      </c>
    </row>
    <row r="444" spans="1:13">
      <c r="A444" s="3">
        <v>401</v>
      </c>
      <c r="B444">
        <v>3</v>
      </c>
      <c r="H444" s="3">
        <v>399</v>
      </c>
      <c r="I444">
        <v>7</v>
      </c>
      <c r="L444" s="3">
        <v>413</v>
      </c>
      <c r="M444">
        <v>0</v>
      </c>
    </row>
    <row r="445" spans="1:13">
      <c r="A445" s="3">
        <v>402</v>
      </c>
      <c r="B445">
        <v>1</v>
      </c>
      <c r="H445" s="3">
        <v>400</v>
      </c>
      <c r="I445">
        <v>5</v>
      </c>
      <c r="L445" s="3">
        <v>414</v>
      </c>
      <c r="M445">
        <v>5</v>
      </c>
    </row>
    <row r="446" spans="1:13">
      <c r="A446" s="3">
        <v>403</v>
      </c>
      <c r="B446">
        <v>5</v>
      </c>
      <c r="H446" s="3">
        <v>401</v>
      </c>
      <c r="I446">
        <v>5</v>
      </c>
      <c r="L446" s="3">
        <v>415</v>
      </c>
      <c r="M446">
        <v>35</v>
      </c>
    </row>
    <row r="447" spans="1:13">
      <c r="A447" s="3">
        <v>404</v>
      </c>
      <c r="B447">
        <v>3</v>
      </c>
      <c r="H447" s="3">
        <v>402</v>
      </c>
      <c r="I447">
        <v>9</v>
      </c>
      <c r="L447" s="3">
        <v>416</v>
      </c>
      <c r="M447">
        <v>3</v>
      </c>
    </row>
    <row r="448" spans="1:13">
      <c r="A448" s="3">
        <v>405</v>
      </c>
      <c r="B448">
        <v>5</v>
      </c>
      <c r="H448" s="3">
        <v>403</v>
      </c>
      <c r="I448">
        <v>7</v>
      </c>
      <c r="L448" s="3">
        <v>417</v>
      </c>
      <c r="M448">
        <v>7</v>
      </c>
    </row>
    <row r="449" spans="1:13">
      <c r="A449" s="3">
        <v>406</v>
      </c>
      <c r="B449">
        <v>2</v>
      </c>
      <c r="H449" s="3">
        <v>404</v>
      </c>
      <c r="I449">
        <v>7</v>
      </c>
      <c r="L449" s="3">
        <v>418</v>
      </c>
      <c r="M449">
        <v>8</v>
      </c>
    </row>
    <row r="450" spans="1:13">
      <c r="A450" s="3">
        <v>407</v>
      </c>
      <c r="B450">
        <v>4.5</v>
      </c>
      <c r="H450" s="3">
        <v>405</v>
      </c>
      <c r="I450">
        <v>8</v>
      </c>
      <c r="L450" s="3">
        <v>419</v>
      </c>
      <c r="M450">
        <v>7</v>
      </c>
    </row>
    <row r="451" spans="1:13">
      <c r="A451" s="3">
        <v>408</v>
      </c>
      <c r="B451">
        <v>1</v>
      </c>
      <c r="H451" s="3">
        <v>406</v>
      </c>
      <c r="I451">
        <v>8</v>
      </c>
      <c r="L451" s="3">
        <v>420</v>
      </c>
      <c r="M451">
        <v>3</v>
      </c>
    </row>
    <row r="452" spans="1:13">
      <c r="A452" s="3">
        <v>409</v>
      </c>
      <c r="B452">
        <v>4.5</v>
      </c>
      <c r="H452" s="3">
        <v>407</v>
      </c>
      <c r="I452">
        <v>7</v>
      </c>
      <c r="L452" s="3">
        <v>421</v>
      </c>
      <c r="M452">
        <v>0</v>
      </c>
    </row>
    <row r="453" spans="1:13">
      <c r="A453" s="3">
        <v>410</v>
      </c>
      <c r="B453">
        <v>1</v>
      </c>
      <c r="H453" s="3">
        <v>408</v>
      </c>
      <c r="I453">
        <v>8</v>
      </c>
      <c r="L453" s="3">
        <v>422</v>
      </c>
      <c r="M453">
        <v>14</v>
      </c>
    </row>
    <row r="454" spans="1:13">
      <c r="A454" s="3">
        <v>411</v>
      </c>
      <c r="B454">
        <v>5</v>
      </c>
      <c r="H454" s="3">
        <v>409</v>
      </c>
      <c r="I454">
        <v>10</v>
      </c>
      <c r="L454" s="3">
        <v>423</v>
      </c>
      <c r="M454">
        <v>0</v>
      </c>
    </row>
    <row r="455" spans="1:13">
      <c r="A455" s="3">
        <v>412</v>
      </c>
      <c r="B455">
        <v>3</v>
      </c>
      <c r="H455" s="3">
        <v>410</v>
      </c>
      <c r="I455">
        <v>7</v>
      </c>
      <c r="L455" s="3">
        <v>424</v>
      </c>
      <c r="M455">
        <v>97</v>
      </c>
    </row>
    <row r="456" spans="1:13">
      <c r="A456" s="3">
        <v>413</v>
      </c>
      <c r="B456">
        <v>3</v>
      </c>
      <c r="H456" s="3">
        <v>411</v>
      </c>
      <c r="I456">
        <v>6</v>
      </c>
      <c r="L456" s="3">
        <v>425</v>
      </c>
      <c r="M456">
        <v>4</v>
      </c>
    </row>
    <row r="457" spans="1:13">
      <c r="A457" s="3">
        <v>414</v>
      </c>
      <c r="B457">
        <v>4.5</v>
      </c>
      <c r="H457" s="3">
        <v>412</v>
      </c>
      <c r="I457">
        <v>9</v>
      </c>
      <c r="L457" s="3">
        <v>426</v>
      </c>
      <c r="M457">
        <v>6</v>
      </c>
    </row>
    <row r="458" spans="1:13">
      <c r="A458" s="3">
        <v>415</v>
      </c>
      <c r="B458">
        <v>5</v>
      </c>
      <c r="H458" s="3">
        <v>413</v>
      </c>
      <c r="I458">
        <v>6</v>
      </c>
      <c r="L458" s="3">
        <v>427</v>
      </c>
      <c r="M458">
        <v>6</v>
      </c>
    </row>
    <row r="459" spans="1:13">
      <c r="A459" s="3">
        <v>416</v>
      </c>
      <c r="B459">
        <v>3</v>
      </c>
      <c r="H459" s="3">
        <v>414</v>
      </c>
      <c r="I459">
        <v>7</v>
      </c>
      <c r="L459" s="3">
        <v>428</v>
      </c>
      <c r="M459">
        <v>6</v>
      </c>
    </row>
    <row r="460" spans="1:13">
      <c r="A460" s="3">
        <v>417</v>
      </c>
      <c r="B460">
        <v>5</v>
      </c>
      <c r="H460" s="3">
        <v>415</v>
      </c>
      <c r="I460">
        <v>6</v>
      </c>
      <c r="L460" s="3">
        <v>429</v>
      </c>
      <c r="M460">
        <v>5</v>
      </c>
    </row>
    <row r="461" spans="1:13">
      <c r="A461" s="3">
        <v>418</v>
      </c>
      <c r="B461">
        <v>5</v>
      </c>
      <c r="H461" s="3">
        <v>416</v>
      </c>
      <c r="I461">
        <v>6</v>
      </c>
      <c r="L461" s="3">
        <v>430</v>
      </c>
      <c r="M461">
        <v>3</v>
      </c>
    </row>
    <row r="462" spans="1:13">
      <c r="A462" s="3">
        <v>419</v>
      </c>
      <c r="B462">
        <v>3</v>
      </c>
      <c r="H462" s="3">
        <v>417</v>
      </c>
      <c r="I462">
        <v>8</v>
      </c>
      <c r="L462" s="3">
        <v>431</v>
      </c>
      <c r="M462">
        <v>8</v>
      </c>
    </row>
    <row r="463" spans="1:13">
      <c r="A463" s="3">
        <v>420</v>
      </c>
      <c r="B463">
        <v>2</v>
      </c>
      <c r="H463" s="3">
        <v>418</v>
      </c>
      <c r="I463">
        <v>7</v>
      </c>
      <c r="L463" s="3">
        <v>432</v>
      </c>
      <c r="M463">
        <v>8</v>
      </c>
    </row>
    <row r="464" spans="1:13">
      <c r="A464" s="3">
        <v>421</v>
      </c>
      <c r="B464">
        <v>5</v>
      </c>
      <c r="H464" s="3">
        <v>419</v>
      </c>
      <c r="I464">
        <v>7</v>
      </c>
      <c r="L464" s="3">
        <v>433</v>
      </c>
      <c r="M464">
        <v>10</v>
      </c>
    </row>
    <row r="465" spans="1:13">
      <c r="A465" s="3">
        <v>422</v>
      </c>
      <c r="B465">
        <v>3</v>
      </c>
      <c r="H465" s="3">
        <v>420</v>
      </c>
      <c r="I465">
        <v>6</v>
      </c>
      <c r="L465" s="3">
        <v>434</v>
      </c>
      <c r="M465">
        <v>2</v>
      </c>
    </row>
    <row r="466" spans="1:13">
      <c r="A466" s="3">
        <v>423</v>
      </c>
      <c r="B466">
        <v>5</v>
      </c>
      <c r="H466" s="3">
        <v>421</v>
      </c>
      <c r="I466">
        <v>6</v>
      </c>
      <c r="L466" s="3">
        <v>435</v>
      </c>
      <c r="M466">
        <v>6</v>
      </c>
    </row>
    <row r="467" spans="1:13">
      <c r="A467" s="3">
        <v>424</v>
      </c>
      <c r="B467">
        <v>5</v>
      </c>
      <c r="H467" s="3">
        <v>422</v>
      </c>
      <c r="I467">
        <v>8</v>
      </c>
      <c r="L467" s="3">
        <v>436</v>
      </c>
      <c r="M467">
        <v>6</v>
      </c>
    </row>
    <row r="468" spans="1:13">
      <c r="A468" s="3">
        <v>425</v>
      </c>
      <c r="B468">
        <v>3</v>
      </c>
      <c r="H468" s="3">
        <v>423</v>
      </c>
      <c r="I468">
        <v>6</v>
      </c>
      <c r="L468" s="3">
        <v>437</v>
      </c>
      <c r="M468">
        <v>8</v>
      </c>
    </row>
    <row r="469" spans="1:13">
      <c r="A469" s="3">
        <v>426</v>
      </c>
      <c r="B469">
        <v>3</v>
      </c>
      <c r="H469" s="3">
        <v>424</v>
      </c>
      <c r="I469">
        <v>8</v>
      </c>
      <c r="L469" s="3">
        <v>438</v>
      </c>
      <c r="M469">
        <v>61</v>
      </c>
    </row>
    <row r="470" spans="1:13">
      <c r="A470" s="3">
        <v>427</v>
      </c>
      <c r="B470">
        <v>4.5</v>
      </c>
      <c r="H470" s="3">
        <v>425</v>
      </c>
      <c r="I470">
        <v>6</v>
      </c>
      <c r="L470" s="3">
        <v>439</v>
      </c>
      <c r="M470">
        <v>5</v>
      </c>
    </row>
    <row r="471" spans="1:13">
      <c r="A471" s="3">
        <v>428</v>
      </c>
      <c r="B471">
        <v>1</v>
      </c>
      <c r="H471" s="3">
        <v>426</v>
      </c>
      <c r="I471">
        <v>10</v>
      </c>
      <c r="L471" s="3">
        <v>440</v>
      </c>
      <c r="M471">
        <v>7</v>
      </c>
    </row>
    <row r="472" spans="1:13">
      <c r="A472" s="3">
        <v>429</v>
      </c>
      <c r="B472">
        <v>3</v>
      </c>
      <c r="H472" s="3">
        <v>427</v>
      </c>
      <c r="I472">
        <v>7</v>
      </c>
      <c r="L472" s="3">
        <v>441</v>
      </c>
      <c r="M472">
        <v>10</v>
      </c>
    </row>
    <row r="473" spans="1:13">
      <c r="A473" s="3">
        <v>430</v>
      </c>
      <c r="B473">
        <v>3</v>
      </c>
      <c r="H473" s="3">
        <v>428</v>
      </c>
      <c r="I473">
        <v>6</v>
      </c>
      <c r="L473" s="3">
        <v>442</v>
      </c>
      <c r="M473">
        <v>38</v>
      </c>
    </row>
    <row r="474" spans="1:13">
      <c r="A474" s="3">
        <v>431</v>
      </c>
      <c r="B474">
        <v>4.5</v>
      </c>
      <c r="H474" s="3">
        <v>429</v>
      </c>
      <c r="I474">
        <v>7</v>
      </c>
      <c r="L474" s="3">
        <v>443</v>
      </c>
      <c r="M474">
        <v>6</v>
      </c>
    </row>
    <row r="475" spans="1:13">
      <c r="A475" s="3">
        <v>432</v>
      </c>
      <c r="B475">
        <v>4.5</v>
      </c>
      <c r="H475" s="3">
        <v>430</v>
      </c>
      <c r="I475">
        <v>7</v>
      </c>
      <c r="L475" s="3">
        <v>444</v>
      </c>
      <c r="M475">
        <v>8</v>
      </c>
    </row>
    <row r="476" spans="1:13">
      <c r="A476" s="3">
        <v>433</v>
      </c>
      <c r="B476">
        <v>1</v>
      </c>
      <c r="H476" s="3">
        <v>431</v>
      </c>
      <c r="I476">
        <v>9</v>
      </c>
      <c r="L476" s="3">
        <v>445</v>
      </c>
      <c r="M476">
        <v>6</v>
      </c>
    </row>
    <row r="477" spans="1:13">
      <c r="A477" s="3">
        <v>434</v>
      </c>
      <c r="B477">
        <v>3</v>
      </c>
      <c r="H477" s="3">
        <v>432</v>
      </c>
      <c r="I477">
        <v>7</v>
      </c>
      <c r="L477" s="3">
        <v>446</v>
      </c>
      <c r="M477">
        <v>9</v>
      </c>
    </row>
    <row r="478" spans="1:13">
      <c r="A478" s="3">
        <v>435</v>
      </c>
      <c r="B478">
        <v>3</v>
      </c>
      <c r="H478" s="3">
        <v>433</v>
      </c>
      <c r="I478">
        <v>8</v>
      </c>
      <c r="L478" s="3">
        <v>447</v>
      </c>
      <c r="M478">
        <v>7</v>
      </c>
    </row>
    <row r="479" spans="1:13">
      <c r="A479" s="3">
        <v>436</v>
      </c>
      <c r="B479">
        <v>4.5</v>
      </c>
      <c r="H479" s="3">
        <v>434</v>
      </c>
      <c r="I479">
        <v>8</v>
      </c>
      <c r="L479" s="3">
        <v>448</v>
      </c>
      <c r="M479">
        <v>5</v>
      </c>
    </row>
    <row r="480" spans="1:13">
      <c r="A480" s="3">
        <v>437</v>
      </c>
      <c r="B480">
        <v>1</v>
      </c>
      <c r="H480" s="3">
        <v>435</v>
      </c>
      <c r="I480">
        <v>5</v>
      </c>
      <c r="L480" s="3">
        <v>449</v>
      </c>
      <c r="M480">
        <v>5</v>
      </c>
    </row>
    <row r="481" spans="1:13">
      <c r="A481" s="3">
        <v>438</v>
      </c>
      <c r="B481">
        <v>1</v>
      </c>
      <c r="H481" s="3">
        <v>436</v>
      </c>
      <c r="I481">
        <v>5</v>
      </c>
      <c r="L481" s="3">
        <v>450</v>
      </c>
      <c r="M481">
        <v>6</v>
      </c>
    </row>
    <row r="482" spans="1:13">
      <c r="A482" s="3">
        <v>439</v>
      </c>
      <c r="B482">
        <v>3</v>
      </c>
      <c r="H482" s="3">
        <v>437</v>
      </c>
      <c r="I482">
        <v>6</v>
      </c>
      <c r="L482" s="3">
        <v>451</v>
      </c>
      <c r="M482">
        <v>9</v>
      </c>
    </row>
    <row r="483" spans="1:13">
      <c r="A483" s="3">
        <v>440</v>
      </c>
      <c r="B483">
        <v>4.5</v>
      </c>
      <c r="H483" s="3">
        <v>438</v>
      </c>
      <c r="I483">
        <v>5</v>
      </c>
      <c r="L483" s="3">
        <v>452</v>
      </c>
      <c r="M483">
        <v>0</v>
      </c>
    </row>
    <row r="484" spans="1:13">
      <c r="A484" s="3">
        <v>441</v>
      </c>
      <c r="B484">
        <v>5</v>
      </c>
      <c r="H484" s="3">
        <v>439</v>
      </c>
      <c r="I484">
        <v>6</v>
      </c>
      <c r="L484" s="3">
        <v>453</v>
      </c>
      <c r="M484">
        <v>93</v>
      </c>
    </row>
    <row r="485" spans="1:13">
      <c r="A485" s="3">
        <v>442</v>
      </c>
      <c r="B485">
        <v>5</v>
      </c>
      <c r="H485" s="3">
        <v>440</v>
      </c>
      <c r="I485">
        <v>6</v>
      </c>
      <c r="L485" s="3">
        <v>454</v>
      </c>
      <c r="M485">
        <v>4</v>
      </c>
    </row>
    <row r="486" spans="1:13">
      <c r="A486" s="3">
        <v>443</v>
      </c>
      <c r="B486">
        <v>3</v>
      </c>
      <c r="H486" s="3">
        <v>441</v>
      </c>
      <c r="I486">
        <v>8</v>
      </c>
      <c r="L486" s="3">
        <v>455</v>
      </c>
      <c r="M486">
        <v>14</v>
      </c>
    </row>
    <row r="487" spans="1:13">
      <c r="A487" s="3">
        <v>444</v>
      </c>
      <c r="B487">
        <v>5</v>
      </c>
      <c r="H487" s="3">
        <v>442</v>
      </c>
      <c r="I487">
        <v>8</v>
      </c>
      <c r="L487" s="3">
        <v>456</v>
      </c>
      <c r="M487">
        <v>6</v>
      </c>
    </row>
    <row r="488" spans="1:13">
      <c r="A488" s="3">
        <v>445</v>
      </c>
      <c r="B488">
        <v>5</v>
      </c>
      <c r="H488" s="3">
        <v>443</v>
      </c>
      <c r="I488">
        <v>6</v>
      </c>
      <c r="L488" s="3">
        <v>457</v>
      </c>
      <c r="M488">
        <v>6</v>
      </c>
    </row>
    <row r="489" spans="1:13">
      <c r="A489" s="3">
        <v>446</v>
      </c>
      <c r="B489">
        <v>5</v>
      </c>
      <c r="H489" s="3">
        <v>444</v>
      </c>
      <c r="I489">
        <v>8</v>
      </c>
      <c r="L489" s="3">
        <v>458</v>
      </c>
      <c r="M489">
        <v>1</v>
      </c>
    </row>
    <row r="490" spans="1:13">
      <c r="A490" s="3">
        <v>447</v>
      </c>
      <c r="B490">
        <v>1</v>
      </c>
      <c r="H490" s="3">
        <v>445</v>
      </c>
      <c r="I490">
        <v>7</v>
      </c>
      <c r="L490" s="3">
        <v>459</v>
      </c>
      <c r="M490">
        <v>7</v>
      </c>
    </row>
    <row r="491" spans="1:13">
      <c r="A491" s="3">
        <v>448</v>
      </c>
      <c r="B491">
        <v>1</v>
      </c>
      <c r="H491" s="3">
        <v>446</v>
      </c>
      <c r="I491">
        <v>8</v>
      </c>
      <c r="L491" s="3">
        <v>460</v>
      </c>
      <c r="M491">
        <v>4</v>
      </c>
    </row>
    <row r="492" spans="1:13">
      <c r="A492" s="3">
        <v>449</v>
      </c>
      <c r="B492">
        <v>3</v>
      </c>
      <c r="H492" s="3">
        <v>447</v>
      </c>
      <c r="I492">
        <v>9</v>
      </c>
      <c r="L492" s="3">
        <v>461</v>
      </c>
      <c r="M492">
        <v>9</v>
      </c>
    </row>
    <row r="493" spans="1:13">
      <c r="A493" s="3">
        <v>450</v>
      </c>
      <c r="B493">
        <v>5</v>
      </c>
      <c r="H493" s="3">
        <v>448</v>
      </c>
      <c r="I493">
        <v>8</v>
      </c>
      <c r="L493" s="3">
        <v>462</v>
      </c>
      <c r="M493">
        <v>5</v>
      </c>
    </row>
    <row r="494" spans="1:13">
      <c r="A494" s="3">
        <v>451</v>
      </c>
      <c r="B494">
        <v>5</v>
      </c>
      <c r="H494" s="3">
        <v>449</v>
      </c>
      <c r="I494">
        <v>8</v>
      </c>
      <c r="L494" s="3">
        <v>463</v>
      </c>
      <c r="M494">
        <v>1</v>
      </c>
    </row>
    <row r="495" spans="1:13">
      <c r="A495" s="3">
        <v>452</v>
      </c>
      <c r="B495">
        <v>3</v>
      </c>
      <c r="H495" s="3">
        <v>450</v>
      </c>
      <c r="I495">
        <v>9</v>
      </c>
      <c r="L495" s="3">
        <v>464</v>
      </c>
      <c r="M495">
        <v>7</v>
      </c>
    </row>
    <row r="496" spans="1:13">
      <c r="A496" s="3">
        <v>453</v>
      </c>
      <c r="B496">
        <v>3</v>
      </c>
      <c r="H496" s="3">
        <v>451</v>
      </c>
      <c r="I496">
        <v>6</v>
      </c>
      <c r="L496" s="3">
        <v>465</v>
      </c>
      <c r="M496">
        <v>6</v>
      </c>
    </row>
    <row r="497" spans="1:13">
      <c r="A497" s="3">
        <v>454</v>
      </c>
      <c r="B497">
        <v>4.5</v>
      </c>
      <c r="H497" s="3">
        <v>452</v>
      </c>
      <c r="I497">
        <v>8</v>
      </c>
      <c r="L497" s="3">
        <v>466</v>
      </c>
      <c r="M497">
        <v>27</v>
      </c>
    </row>
    <row r="498" spans="1:13">
      <c r="A498" s="3">
        <v>455</v>
      </c>
      <c r="B498">
        <v>2</v>
      </c>
      <c r="H498" s="3">
        <v>453</v>
      </c>
      <c r="I498">
        <v>8</v>
      </c>
      <c r="L498" s="3">
        <v>467</v>
      </c>
      <c r="M498">
        <v>8</v>
      </c>
    </row>
    <row r="499" spans="1:13">
      <c r="A499" s="3">
        <v>456</v>
      </c>
      <c r="B499">
        <v>3</v>
      </c>
      <c r="H499" s="3">
        <v>454</v>
      </c>
      <c r="I499">
        <v>5</v>
      </c>
      <c r="L499" s="3">
        <v>468</v>
      </c>
      <c r="M499">
        <v>2</v>
      </c>
    </row>
    <row r="500" spans="1:13">
      <c r="A500" s="3">
        <v>457</v>
      </c>
      <c r="B500">
        <v>3</v>
      </c>
      <c r="H500" s="3">
        <v>455</v>
      </c>
      <c r="I500">
        <v>7</v>
      </c>
      <c r="L500" s="3">
        <v>469</v>
      </c>
      <c r="M500">
        <v>51</v>
      </c>
    </row>
    <row r="501" spans="1:13">
      <c r="A501" s="3">
        <v>458</v>
      </c>
      <c r="B501">
        <v>3</v>
      </c>
      <c r="H501" s="3">
        <v>456</v>
      </c>
      <c r="I501">
        <v>8</v>
      </c>
      <c r="L501" s="3">
        <v>470</v>
      </c>
      <c r="M501">
        <v>3</v>
      </c>
    </row>
    <row r="502" spans="1:13">
      <c r="A502" s="3">
        <v>459</v>
      </c>
      <c r="B502">
        <v>5</v>
      </c>
      <c r="H502" s="3">
        <v>457</v>
      </c>
      <c r="I502">
        <v>5</v>
      </c>
      <c r="L502" s="3">
        <v>471</v>
      </c>
      <c r="M502">
        <v>13</v>
      </c>
    </row>
    <row r="503" spans="1:13">
      <c r="A503" s="3">
        <v>460</v>
      </c>
      <c r="B503">
        <v>3</v>
      </c>
      <c r="H503" s="3">
        <v>458</v>
      </c>
      <c r="I503">
        <v>7</v>
      </c>
      <c r="L503" s="3">
        <v>472</v>
      </c>
      <c r="M503">
        <v>6</v>
      </c>
    </row>
    <row r="504" spans="1:13">
      <c r="A504" s="3">
        <v>461</v>
      </c>
      <c r="B504">
        <v>4.5</v>
      </c>
      <c r="H504" s="3">
        <v>459</v>
      </c>
      <c r="I504">
        <v>9</v>
      </c>
      <c r="L504" s="3">
        <v>473</v>
      </c>
      <c r="M504">
        <v>4</v>
      </c>
    </row>
    <row r="505" spans="1:13">
      <c r="A505" s="3">
        <v>462</v>
      </c>
      <c r="B505">
        <v>3</v>
      </c>
      <c r="H505" s="3">
        <v>460</v>
      </c>
      <c r="I505">
        <v>8</v>
      </c>
      <c r="L505" s="3">
        <v>474</v>
      </c>
      <c r="M505">
        <v>0</v>
      </c>
    </row>
    <row r="506" spans="1:13">
      <c r="A506" s="3">
        <v>463</v>
      </c>
      <c r="B506">
        <v>3</v>
      </c>
      <c r="H506" s="3">
        <v>461</v>
      </c>
      <c r="I506">
        <v>7</v>
      </c>
      <c r="L506" s="3">
        <v>475</v>
      </c>
      <c r="M506">
        <v>8</v>
      </c>
    </row>
    <row r="507" spans="1:13">
      <c r="A507" s="3">
        <v>464</v>
      </c>
      <c r="B507">
        <v>1</v>
      </c>
      <c r="H507" s="3">
        <v>462</v>
      </c>
      <c r="I507">
        <v>7</v>
      </c>
      <c r="L507" s="3">
        <v>476</v>
      </c>
      <c r="M507">
        <v>43</v>
      </c>
    </row>
    <row r="508" spans="1:13">
      <c r="A508" s="3">
        <v>465</v>
      </c>
      <c r="B508">
        <v>5</v>
      </c>
      <c r="H508" s="3">
        <v>463</v>
      </c>
      <c r="I508">
        <v>7</v>
      </c>
      <c r="L508" s="3">
        <v>477</v>
      </c>
      <c r="M508">
        <v>3</v>
      </c>
    </row>
    <row r="509" spans="1:13">
      <c r="A509" s="3">
        <v>466</v>
      </c>
      <c r="B509">
        <v>1</v>
      </c>
      <c r="H509" s="3">
        <v>464</v>
      </c>
      <c r="I509">
        <v>7</v>
      </c>
      <c r="L509" s="3">
        <v>478</v>
      </c>
      <c r="M509">
        <v>7</v>
      </c>
    </row>
    <row r="510" spans="1:13">
      <c r="A510" s="3">
        <v>467</v>
      </c>
      <c r="B510">
        <v>5</v>
      </c>
      <c r="H510" s="3">
        <v>465</v>
      </c>
      <c r="I510">
        <v>8</v>
      </c>
      <c r="L510" s="3">
        <v>479</v>
      </c>
      <c r="M510">
        <v>2</v>
      </c>
    </row>
    <row r="511" spans="1:13">
      <c r="A511" s="3">
        <v>468</v>
      </c>
      <c r="B511">
        <v>1</v>
      </c>
      <c r="H511" s="3">
        <v>466</v>
      </c>
      <c r="I511">
        <v>5</v>
      </c>
      <c r="L511" s="3">
        <v>480</v>
      </c>
      <c r="M511">
        <v>0</v>
      </c>
    </row>
    <row r="512" spans="1:13">
      <c r="A512" s="3">
        <v>469</v>
      </c>
      <c r="B512">
        <v>4.5</v>
      </c>
      <c r="H512" s="3">
        <v>467</v>
      </c>
      <c r="I512">
        <v>6</v>
      </c>
      <c r="L512" s="3">
        <v>481</v>
      </c>
      <c r="M512">
        <v>9</v>
      </c>
    </row>
    <row r="513" spans="1:13">
      <c r="A513" s="3">
        <v>470</v>
      </c>
      <c r="B513">
        <v>3</v>
      </c>
      <c r="H513" s="3">
        <v>468</v>
      </c>
      <c r="I513">
        <v>8</v>
      </c>
      <c r="L513" s="3">
        <v>482</v>
      </c>
      <c r="M513">
        <v>1</v>
      </c>
    </row>
    <row r="514" spans="1:13">
      <c r="A514" s="3">
        <v>471</v>
      </c>
      <c r="B514">
        <v>2</v>
      </c>
      <c r="H514" s="3">
        <v>469</v>
      </c>
      <c r="I514">
        <v>6</v>
      </c>
      <c r="L514" s="3">
        <v>483</v>
      </c>
      <c r="M514">
        <v>6</v>
      </c>
    </row>
    <row r="515" spans="1:13">
      <c r="A515" s="3">
        <v>472</v>
      </c>
      <c r="B515">
        <v>4.5</v>
      </c>
      <c r="H515" s="3">
        <v>470</v>
      </c>
      <c r="I515">
        <v>7</v>
      </c>
      <c r="L515" s="3">
        <v>484</v>
      </c>
      <c r="M515">
        <v>10</v>
      </c>
    </row>
    <row r="516" spans="1:13">
      <c r="A516" s="3">
        <v>473</v>
      </c>
      <c r="B516">
        <v>1</v>
      </c>
      <c r="H516" s="3">
        <v>471</v>
      </c>
      <c r="I516">
        <v>6</v>
      </c>
      <c r="L516" s="3">
        <v>485</v>
      </c>
      <c r="M516">
        <v>0</v>
      </c>
    </row>
    <row r="517" spans="1:13">
      <c r="A517" s="3">
        <v>474</v>
      </c>
      <c r="B517">
        <v>3</v>
      </c>
      <c r="H517" s="3">
        <v>472</v>
      </c>
      <c r="I517">
        <v>7</v>
      </c>
      <c r="L517" s="3">
        <v>486</v>
      </c>
      <c r="M517">
        <v>7</v>
      </c>
    </row>
    <row r="518" spans="1:13">
      <c r="A518" s="3">
        <v>475</v>
      </c>
      <c r="B518">
        <v>5</v>
      </c>
      <c r="H518" s="3">
        <v>473</v>
      </c>
      <c r="I518">
        <v>8</v>
      </c>
      <c r="L518" s="3">
        <v>487</v>
      </c>
      <c r="M518">
        <v>14</v>
      </c>
    </row>
    <row r="519" spans="1:13">
      <c r="A519" s="3">
        <v>476</v>
      </c>
      <c r="B519">
        <v>5</v>
      </c>
      <c r="H519" s="3">
        <v>474</v>
      </c>
      <c r="I519">
        <v>7</v>
      </c>
      <c r="L519" s="3">
        <v>488</v>
      </c>
      <c r="M519">
        <v>1</v>
      </c>
    </row>
    <row r="520" spans="1:13">
      <c r="A520" s="3">
        <v>477</v>
      </c>
      <c r="B520">
        <v>3</v>
      </c>
      <c r="H520" s="3">
        <v>475</v>
      </c>
      <c r="I520">
        <v>8</v>
      </c>
      <c r="L520" s="3">
        <v>489</v>
      </c>
      <c r="M520">
        <v>92</v>
      </c>
    </row>
    <row r="521" spans="1:13">
      <c r="A521" s="3">
        <v>478</v>
      </c>
      <c r="B521">
        <v>3</v>
      </c>
      <c r="H521" s="3">
        <v>476</v>
      </c>
      <c r="I521">
        <v>7</v>
      </c>
      <c r="L521" s="3">
        <v>490</v>
      </c>
      <c r="M521">
        <v>7</v>
      </c>
    </row>
    <row r="522" spans="1:13">
      <c r="A522" s="3">
        <v>479</v>
      </c>
      <c r="B522">
        <v>3</v>
      </c>
      <c r="H522" s="3">
        <v>477</v>
      </c>
      <c r="I522">
        <v>6</v>
      </c>
      <c r="L522" s="3">
        <v>491</v>
      </c>
      <c r="M522">
        <v>7</v>
      </c>
    </row>
    <row r="523" spans="1:13">
      <c r="A523" s="3">
        <v>480</v>
      </c>
      <c r="B523">
        <v>2</v>
      </c>
      <c r="H523" s="3">
        <v>478</v>
      </c>
      <c r="I523">
        <v>7</v>
      </c>
      <c r="L523" s="3">
        <v>492</v>
      </c>
      <c r="M523">
        <v>95</v>
      </c>
    </row>
    <row r="524" spans="1:13">
      <c r="A524" s="3">
        <v>481</v>
      </c>
      <c r="B524">
        <v>5</v>
      </c>
      <c r="H524" s="3">
        <v>479</v>
      </c>
      <c r="I524">
        <v>9</v>
      </c>
      <c r="L524" s="3">
        <v>493</v>
      </c>
      <c r="M524">
        <v>11</v>
      </c>
    </row>
    <row r="525" spans="1:13">
      <c r="A525" s="3">
        <v>482</v>
      </c>
      <c r="B525">
        <v>5</v>
      </c>
      <c r="H525" s="3">
        <v>480</v>
      </c>
      <c r="I525">
        <v>6</v>
      </c>
      <c r="L525" s="3">
        <v>494</v>
      </c>
      <c r="M525">
        <v>4</v>
      </c>
    </row>
    <row r="526" spans="1:13">
      <c r="A526" s="3">
        <v>483</v>
      </c>
      <c r="B526">
        <v>5</v>
      </c>
      <c r="H526" s="3">
        <v>481</v>
      </c>
      <c r="I526">
        <v>6</v>
      </c>
      <c r="L526" s="3">
        <v>495</v>
      </c>
      <c r="M526">
        <v>6</v>
      </c>
    </row>
    <row r="527" spans="1:13">
      <c r="A527" s="3">
        <v>484</v>
      </c>
      <c r="B527">
        <v>4.5</v>
      </c>
      <c r="H527" s="3">
        <v>482</v>
      </c>
      <c r="I527">
        <v>8</v>
      </c>
      <c r="L527" s="3">
        <v>496</v>
      </c>
      <c r="M527">
        <v>9</v>
      </c>
    </row>
    <row r="528" spans="1:13">
      <c r="A528" s="3">
        <v>485</v>
      </c>
      <c r="B528">
        <v>3</v>
      </c>
      <c r="H528" s="3">
        <v>483</v>
      </c>
      <c r="I528">
        <v>10</v>
      </c>
      <c r="L528" s="3">
        <v>497</v>
      </c>
      <c r="M528">
        <v>4</v>
      </c>
    </row>
    <row r="529" spans="1:13">
      <c r="A529" s="3">
        <v>486</v>
      </c>
      <c r="B529">
        <v>5</v>
      </c>
      <c r="H529" s="3">
        <v>484</v>
      </c>
      <c r="I529">
        <v>6</v>
      </c>
      <c r="L529" s="3">
        <v>498</v>
      </c>
      <c r="M529">
        <v>10</v>
      </c>
    </row>
    <row r="530" spans="1:13">
      <c r="A530" s="3">
        <v>487</v>
      </c>
      <c r="B530">
        <v>4.5</v>
      </c>
      <c r="H530" s="3">
        <v>485</v>
      </c>
      <c r="I530">
        <v>6</v>
      </c>
      <c r="L530" s="3">
        <v>499</v>
      </c>
      <c r="M530">
        <v>2</v>
      </c>
    </row>
    <row r="531" spans="1:13">
      <c r="A531" s="3">
        <v>488</v>
      </c>
      <c r="B531">
        <v>5</v>
      </c>
      <c r="H531" s="3">
        <v>486</v>
      </c>
      <c r="I531">
        <v>8</v>
      </c>
      <c r="L531" s="3">
        <v>500</v>
      </c>
      <c r="M531">
        <v>8</v>
      </c>
    </row>
    <row r="532" spans="1:13">
      <c r="A532" s="3">
        <v>489</v>
      </c>
      <c r="B532">
        <v>4.5</v>
      </c>
      <c r="H532" s="3">
        <v>487</v>
      </c>
      <c r="I532">
        <v>7</v>
      </c>
      <c r="L532" s="3">
        <v>501</v>
      </c>
      <c r="M532">
        <v>2</v>
      </c>
    </row>
    <row r="533" spans="1:13">
      <c r="A533" s="3">
        <v>490</v>
      </c>
      <c r="B533">
        <v>5</v>
      </c>
      <c r="H533" s="3">
        <v>488</v>
      </c>
      <c r="I533">
        <v>5</v>
      </c>
      <c r="L533" s="3">
        <v>502</v>
      </c>
      <c r="M533">
        <v>8</v>
      </c>
    </row>
    <row r="534" spans="1:13">
      <c r="A534" s="3">
        <v>491</v>
      </c>
      <c r="B534">
        <v>3</v>
      </c>
      <c r="H534" s="3">
        <v>489</v>
      </c>
      <c r="I534">
        <v>5</v>
      </c>
      <c r="L534" s="3">
        <v>503</v>
      </c>
      <c r="M534">
        <v>8</v>
      </c>
    </row>
    <row r="535" spans="1:13">
      <c r="A535" s="3">
        <v>492</v>
      </c>
      <c r="B535">
        <v>3</v>
      </c>
      <c r="H535" s="3">
        <v>490</v>
      </c>
      <c r="I535">
        <v>8</v>
      </c>
      <c r="L535" s="3">
        <v>504</v>
      </c>
      <c r="M535">
        <v>10</v>
      </c>
    </row>
    <row r="536" spans="1:13">
      <c r="A536" s="3">
        <v>493</v>
      </c>
      <c r="B536">
        <v>5</v>
      </c>
      <c r="H536" s="3">
        <v>491</v>
      </c>
      <c r="I536">
        <v>6</v>
      </c>
      <c r="L536" s="3">
        <v>505</v>
      </c>
      <c r="M536">
        <v>0</v>
      </c>
    </row>
    <row r="537" spans="1:13">
      <c r="A537" s="3">
        <v>494</v>
      </c>
      <c r="B537">
        <v>4.5</v>
      </c>
      <c r="H537" s="3">
        <v>492</v>
      </c>
      <c r="I537">
        <v>6</v>
      </c>
      <c r="L537" s="3">
        <v>506</v>
      </c>
      <c r="M537">
        <v>9</v>
      </c>
    </row>
    <row r="538" spans="1:13">
      <c r="A538" s="3">
        <v>495</v>
      </c>
      <c r="B538">
        <v>4.5</v>
      </c>
      <c r="H538" s="3">
        <v>493</v>
      </c>
      <c r="I538">
        <v>6</v>
      </c>
      <c r="L538" s="3">
        <v>507</v>
      </c>
      <c r="M538">
        <v>9</v>
      </c>
    </row>
    <row r="539" spans="1:13">
      <c r="A539" s="3">
        <v>496</v>
      </c>
      <c r="B539">
        <v>4.5</v>
      </c>
      <c r="H539" s="3">
        <v>494</v>
      </c>
      <c r="I539">
        <v>8</v>
      </c>
      <c r="L539" s="3">
        <v>508</v>
      </c>
      <c r="M539">
        <v>9</v>
      </c>
    </row>
    <row r="540" spans="1:13">
      <c r="A540" s="3">
        <v>497</v>
      </c>
      <c r="B540">
        <v>5</v>
      </c>
      <c r="H540" s="3">
        <v>495</v>
      </c>
      <c r="I540">
        <v>6</v>
      </c>
      <c r="L540" s="3">
        <v>509</v>
      </c>
      <c r="M540">
        <v>7</v>
      </c>
    </row>
    <row r="541" spans="1:13">
      <c r="A541" s="3">
        <v>498</v>
      </c>
      <c r="B541">
        <v>4.5</v>
      </c>
      <c r="H541" s="3">
        <v>496</v>
      </c>
      <c r="I541">
        <v>7</v>
      </c>
      <c r="L541" s="3">
        <v>510</v>
      </c>
      <c r="M541">
        <v>7</v>
      </c>
    </row>
    <row r="542" spans="1:13">
      <c r="A542" s="3">
        <v>499</v>
      </c>
      <c r="B542">
        <v>3</v>
      </c>
      <c r="H542" s="3">
        <v>497</v>
      </c>
      <c r="I542">
        <v>7</v>
      </c>
      <c r="L542" s="3">
        <v>511</v>
      </c>
      <c r="M542">
        <v>5</v>
      </c>
    </row>
    <row r="543" spans="1:13">
      <c r="A543" s="3">
        <v>500</v>
      </c>
      <c r="B543">
        <v>5</v>
      </c>
      <c r="H543" s="3">
        <v>498</v>
      </c>
      <c r="I543">
        <v>7</v>
      </c>
      <c r="L543" s="3">
        <v>512</v>
      </c>
      <c r="M543">
        <v>11</v>
      </c>
    </row>
    <row r="544" spans="1:13">
      <c r="A544" s="3">
        <v>501</v>
      </c>
      <c r="B544">
        <v>5</v>
      </c>
      <c r="H544" s="3">
        <v>499</v>
      </c>
      <c r="I544">
        <v>7</v>
      </c>
      <c r="L544" s="3">
        <v>513</v>
      </c>
      <c r="M544">
        <v>1</v>
      </c>
    </row>
    <row r="545" spans="1:13">
      <c r="A545" s="3">
        <v>502</v>
      </c>
      <c r="B545">
        <v>1</v>
      </c>
      <c r="H545" s="3">
        <v>500</v>
      </c>
      <c r="I545">
        <v>7</v>
      </c>
      <c r="L545" s="3">
        <v>514</v>
      </c>
      <c r="M545">
        <v>3</v>
      </c>
    </row>
    <row r="546" spans="1:13">
      <c r="A546" s="3">
        <v>503</v>
      </c>
      <c r="B546">
        <v>4.5</v>
      </c>
      <c r="H546" s="3">
        <v>501</v>
      </c>
      <c r="I546">
        <v>7</v>
      </c>
      <c r="L546" s="3">
        <v>515</v>
      </c>
      <c r="M546">
        <v>2</v>
      </c>
    </row>
    <row r="547" spans="1:13">
      <c r="A547" s="3">
        <v>504</v>
      </c>
      <c r="B547">
        <v>5</v>
      </c>
      <c r="H547" s="3">
        <v>502</v>
      </c>
      <c r="I547">
        <v>10</v>
      </c>
      <c r="L547" s="3">
        <v>516</v>
      </c>
      <c r="M547">
        <v>2</v>
      </c>
    </row>
    <row r="548" spans="1:13">
      <c r="A548" s="3">
        <v>505</v>
      </c>
      <c r="B548">
        <v>3</v>
      </c>
      <c r="H548" s="3">
        <v>503</v>
      </c>
      <c r="I548">
        <v>6</v>
      </c>
      <c r="L548" s="3">
        <v>517</v>
      </c>
      <c r="M548">
        <v>7</v>
      </c>
    </row>
    <row r="549" spans="1:13">
      <c r="A549" s="3">
        <v>506</v>
      </c>
      <c r="B549">
        <v>2</v>
      </c>
      <c r="H549" s="3">
        <v>504</v>
      </c>
      <c r="I549">
        <v>8</v>
      </c>
      <c r="L549" s="3">
        <v>518</v>
      </c>
      <c r="M549">
        <v>0</v>
      </c>
    </row>
    <row r="550" spans="1:13">
      <c r="A550" s="3">
        <v>507</v>
      </c>
      <c r="B550">
        <v>5</v>
      </c>
      <c r="H550" s="3">
        <v>505</v>
      </c>
      <c r="I550">
        <v>9</v>
      </c>
      <c r="L550" s="3">
        <v>519</v>
      </c>
      <c r="M550">
        <v>9</v>
      </c>
    </row>
    <row r="551" spans="1:13">
      <c r="A551" s="3">
        <v>508</v>
      </c>
      <c r="B551">
        <v>5</v>
      </c>
      <c r="H551" s="3">
        <v>506</v>
      </c>
      <c r="I551">
        <v>5</v>
      </c>
      <c r="L551" s="3">
        <v>520</v>
      </c>
      <c r="M551">
        <v>4</v>
      </c>
    </row>
    <row r="552" spans="1:13">
      <c r="A552" s="3">
        <v>509</v>
      </c>
      <c r="B552">
        <v>5</v>
      </c>
      <c r="H552" s="3">
        <v>507</v>
      </c>
      <c r="I552">
        <v>6</v>
      </c>
      <c r="L552" s="3">
        <v>521</v>
      </c>
      <c r="M552">
        <v>7</v>
      </c>
    </row>
    <row r="553" spans="1:13">
      <c r="A553" s="3">
        <v>510</v>
      </c>
      <c r="B553">
        <v>3</v>
      </c>
      <c r="H553" s="3">
        <v>508</v>
      </c>
      <c r="I553">
        <v>7</v>
      </c>
      <c r="L553" s="3">
        <v>522</v>
      </c>
      <c r="M553">
        <v>10</v>
      </c>
    </row>
    <row r="554" spans="1:13">
      <c r="A554" s="3">
        <v>511</v>
      </c>
      <c r="B554">
        <v>5</v>
      </c>
      <c r="H554" s="3">
        <v>509</v>
      </c>
      <c r="I554">
        <v>7</v>
      </c>
      <c r="L554" s="3">
        <v>523</v>
      </c>
      <c r="M554">
        <v>1</v>
      </c>
    </row>
    <row r="555" spans="1:13">
      <c r="A555" s="3">
        <v>512</v>
      </c>
      <c r="B555">
        <v>5</v>
      </c>
      <c r="H555" s="3">
        <v>510</v>
      </c>
      <c r="I555">
        <v>9</v>
      </c>
      <c r="L555" s="3">
        <v>524</v>
      </c>
      <c r="M555">
        <v>8</v>
      </c>
    </row>
    <row r="556" spans="1:13">
      <c r="A556" s="3">
        <v>513</v>
      </c>
      <c r="B556">
        <v>3</v>
      </c>
      <c r="H556" s="3">
        <v>511</v>
      </c>
      <c r="I556">
        <v>7</v>
      </c>
      <c r="L556" s="3">
        <v>525</v>
      </c>
      <c r="M556">
        <v>8</v>
      </c>
    </row>
    <row r="557" spans="1:13">
      <c r="A557" s="3">
        <v>514</v>
      </c>
      <c r="B557">
        <v>2</v>
      </c>
      <c r="H557" s="3">
        <v>512</v>
      </c>
      <c r="I557">
        <v>8</v>
      </c>
      <c r="L557" s="3">
        <v>526</v>
      </c>
      <c r="M557">
        <v>9</v>
      </c>
    </row>
    <row r="558" spans="1:13">
      <c r="A558" s="3">
        <v>515</v>
      </c>
      <c r="B558">
        <v>3</v>
      </c>
      <c r="H558" s="3">
        <v>513</v>
      </c>
      <c r="I558">
        <v>6</v>
      </c>
      <c r="L558" s="3">
        <v>527</v>
      </c>
      <c r="M558">
        <v>3</v>
      </c>
    </row>
    <row r="559" spans="1:13">
      <c r="A559" s="3">
        <v>516</v>
      </c>
      <c r="B559">
        <v>4.5</v>
      </c>
      <c r="H559" s="3">
        <v>514</v>
      </c>
      <c r="I559">
        <v>7</v>
      </c>
      <c r="L559" s="3">
        <v>528</v>
      </c>
      <c r="M559">
        <v>10</v>
      </c>
    </row>
    <row r="560" spans="1:13">
      <c r="A560" s="3">
        <v>517</v>
      </c>
      <c r="B560">
        <v>5</v>
      </c>
      <c r="H560" s="3">
        <v>515</v>
      </c>
      <c r="I560">
        <v>5</v>
      </c>
      <c r="L560" s="3">
        <v>529</v>
      </c>
      <c r="M560">
        <v>8</v>
      </c>
    </row>
    <row r="561" spans="1:13">
      <c r="A561" s="3">
        <v>518</v>
      </c>
      <c r="B561">
        <v>2</v>
      </c>
      <c r="H561" s="3">
        <v>516</v>
      </c>
      <c r="I561">
        <v>5</v>
      </c>
      <c r="L561" s="3">
        <v>530</v>
      </c>
      <c r="M561">
        <v>40</v>
      </c>
    </row>
    <row r="562" spans="1:13">
      <c r="A562" s="3">
        <v>519</v>
      </c>
      <c r="B562">
        <v>3</v>
      </c>
      <c r="H562" s="3">
        <v>517</v>
      </c>
      <c r="I562">
        <v>6</v>
      </c>
      <c r="L562" s="3">
        <v>531</v>
      </c>
      <c r="M562">
        <v>1</v>
      </c>
    </row>
    <row r="563" spans="1:13">
      <c r="A563" s="3">
        <v>520</v>
      </c>
      <c r="B563">
        <v>3</v>
      </c>
      <c r="H563" s="3">
        <v>518</v>
      </c>
      <c r="I563">
        <v>6</v>
      </c>
      <c r="L563" s="3">
        <v>532</v>
      </c>
      <c r="M563">
        <v>4</v>
      </c>
    </row>
    <row r="564" spans="1:13">
      <c r="A564" s="3">
        <v>521</v>
      </c>
      <c r="B564">
        <v>3</v>
      </c>
      <c r="H564" s="3">
        <v>519</v>
      </c>
      <c r="I564">
        <v>8</v>
      </c>
      <c r="L564" s="3">
        <v>533</v>
      </c>
      <c r="M564">
        <v>5</v>
      </c>
    </row>
    <row r="565" spans="1:13">
      <c r="A565" s="3">
        <v>522</v>
      </c>
      <c r="B565">
        <v>3</v>
      </c>
      <c r="H565" s="3">
        <v>520</v>
      </c>
      <c r="I565">
        <v>8</v>
      </c>
      <c r="L565" s="3">
        <v>534</v>
      </c>
      <c r="M565">
        <v>10</v>
      </c>
    </row>
    <row r="566" spans="1:13">
      <c r="A566" s="3">
        <v>523</v>
      </c>
      <c r="B566">
        <v>2</v>
      </c>
      <c r="H566" s="3">
        <v>521</v>
      </c>
      <c r="I566">
        <v>7</v>
      </c>
      <c r="L566" s="3">
        <v>535</v>
      </c>
      <c r="M566">
        <v>3</v>
      </c>
    </row>
    <row r="567" spans="1:13">
      <c r="A567" s="3">
        <v>524</v>
      </c>
      <c r="B567">
        <v>5</v>
      </c>
      <c r="H567" s="3">
        <v>522</v>
      </c>
      <c r="I567">
        <v>5</v>
      </c>
      <c r="L567" s="3">
        <v>536</v>
      </c>
      <c r="M567">
        <v>94</v>
      </c>
    </row>
    <row r="568" spans="1:13">
      <c r="A568" s="3">
        <v>525</v>
      </c>
      <c r="B568">
        <v>2</v>
      </c>
      <c r="H568" s="3">
        <v>523</v>
      </c>
      <c r="I568">
        <v>7</v>
      </c>
      <c r="L568" s="3">
        <v>537</v>
      </c>
      <c r="M568">
        <v>2</v>
      </c>
    </row>
    <row r="569" spans="1:13">
      <c r="A569" s="3">
        <v>526</v>
      </c>
      <c r="B569">
        <v>5</v>
      </c>
      <c r="H569" s="3">
        <v>524</v>
      </c>
      <c r="I569">
        <v>8</v>
      </c>
      <c r="L569" s="3">
        <v>538</v>
      </c>
      <c r="M569">
        <v>2</v>
      </c>
    </row>
    <row r="570" spans="1:13">
      <c r="A570" s="3">
        <v>527</v>
      </c>
      <c r="B570">
        <v>1</v>
      </c>
      <c r="H570" s="3">
        <v>525</v>
      </c>
      <c r="I570">
        <v>6</v>
      </c>
      <c r="L570" s="3">
        <v>539</v>
      </c>
      <c r="M570">
        <v>0</v>
      </c>
    </row>
    <row r="571" spans="1:13">
      <c r="A571" s="3">
        <v>528</v>
      </c>
      <c r="B571">
        <v>4.5</v>
      </c>
      <c r="H571" s="3">
        <v>526</v>
      </c>
      <c r="I571">
        <v>6</v>
      </c>
      <c r="L571" s="3">
        <v>540</v>
      </c>
      <c r="M571">
        <v>1</v>
      </c>
    </row>
    <row r="572" spans="1:13">
      <c r="A572" s="3">
        <v>529</v>
      </c>
      <c r="B572">
        <v>3</v>
      </c>
      <c r="H572" s="3">
        <v>527</v>
      </c>
      <c r="I572">
        <v>7</v>
      </c>
      <c r="L572" s="3">
        <v>541</v>
      </c>
      <c r="M572">
        <v>15</v>
      </c>
    </row>
    <row r="573" spans="1:13">
      <c r="A573" s="3">
        <v>530</v>
      </c>
      <c r="B573">
        <v>5</v>
      </c>
      <c r="H573" s="3">
        <v>528</v>
      </c>
      <c r="I573">
        <v>6</v>
      </c>
      <c r="L573" s="3">
        <v>542</v>
      </c>
      <c r="M573">
        <v>11</v>
      </c>
    </row>
    <row r="574" spans="1:13">
      <c r="A574" s="3">
        <v>531</v>
      </c>
      <c r="B574">
        <v>4.5</v>
      </c>
      <c r="H574" s="3">
        <v>529</v>
      </c>
      <c r="I574">
        <v>8</v>
      </c>
      <c r="L574" s="3">
        <v>543</v>
      </c>
      <c r="M574">
        <v>14</v>
      </c>
    </row>
    <row r="575" spans="1:13">
      <c r="A575" s="3">
        <v>532</v>
      </c>
      <c r="B575">
        <v>5</v>
      </c>
      <c r="H575" s="3">
        <v>530</v>
      </c>
      <c r="I575">
        <v>7</v>
      </c>
      <c r="L575" s="3">
        <v>544</v>
      </c>
      <c r="M575">
        <v>81</v>
      </c>
    </row>
    <row r="576" spans="1:13">
      <c r="A576" s="3">
        <v>533</v>
      </c>
      <c r="B576">
        <v>5</v>
      </c>
      <c r="H576" s="3">
        <v>531</v>
      </c>
      <c r="I576">
        <v>6</v>
      </c>
      <c r="L576" s="3">
        <v>545</v>
      </c>
      <c r="M576">
        <v>7</v>
      </c>
    </row>
    <row r="577" spans="1:13">
      <c r="A577" s="3">
        <v>534</v>
      </c>
      <c r="B577">
        <v>5</v>
      </c>
      <c r="H577" s="3">
        <v>532</v>
      </c>
      <c r="I577">
        <v>7</v>
      </c>
      <c r="L577" s="3">
        <v>546</v>
      </c>
      <c r="M577">
        <v>5</v>
      </c>
    </row>
    <row r="578" spans="1:13">
      <c r="A578" s="3">
        <v>535</v>
      </c>
      <c r="B578">
        <v>5</v>
      </c>
      <c r="H578" s="3">
        <v>533</v>
      </c>
      <c r="I578">
        <v>6</v>
      </c>
      <c r="L578" s="3">
        <v>547</v>
      </c>
      <c r="M578">
        <v>7</v>
      </c>
    </row>
    <row r="579" spans="1:13">
      <c r="A579" s="3">
        <v>536</v>
      </c>
      <c r="B579">
        <v>3</v>
      </c>
      <c r="H579" s="3">
        <v>534</v>
      </c>
      <c r="I579">
        <v>10</v>
      </c>
      <c r="L579" s="3">
        <v>548</v>
      </c>
      <c r="M579">
        <v>5</v>
      </c>
    </row>
    <row r="580" spans="1:13">
      <c r="A580" s="3">
        <v>537</v>
      </c>
      <c r="B580">
        <v>5</v>
      </c>
      <c r="H580" s="3">
        <v>535</v>
      </c>
      <c r="I580">
        <v>9</v>
      </c>
      <c r="L580" s="3">
        <v>549</v>
      </c>
      <c r="M580">
        <v>11</v>
      </c>
    </row>
    <row r="581" spans="1:13">
      <c r="A581" s="3">
        <v>538</v>
      </c>
      <c r="B581">
        <v>4.5</v>
      </c>
      <c r="H581" s="3">
        <v>536</v>
      </c>
      <c r="I581">
        <v>8</v>
      </c>
      <c r="L581" s="3">
        <v>550</v>
      </c>
      <c r="M581">
        <v>10</v>
      </c>
    </row>
    <row r="582" spans="1:13">
      <c r="A582" s="3">
        <v>539</v>
      </c>
      <c r="B582">
        <v>3</v>
      </c>
      <c r="H582" s="3">
        <v>537</v>
      </c>
      <c r="I582">
        <v>6</v>
      </c>
      <c r="L582" s="3">
        <v>551</v>
      </c>
      <c r="M582">
        <v>1</v>
      </c>
    </row>
    <row r="583" spans="1:13">
      <c r="A583" s="3">
        <v>540</v>
      </c>
      <c r="B583">
        <v>4.5</v>
      </c>
      <c r="H583" s="3">
        <v>538</v>
      </c>
      <c r="I583">
        <v>6</v>
      </c>
      <c r="L583" s="3">
        <v>552</v>
      </c>
      <c r="M583">
        <v>6</v>
      </c>
    </row>
    <row r="584" spans="1:13">
      <c r="A584" s="3">
        <v>541</v>
      </c>
      <c r="B584">
        <v>5</v>
      </c>
      <c r="H584" s="3">
        <v>539</v>
      </c>
      <c r="I584">
        <v>5</v>
      </c>
      <c r="L584" s="3">
        <v>553</v>
      </c>
      <c r="M584">
        <v>10</v>
      </c>
    </row>
    <row r="585" spans="1:13">
      <c r="A585" s="3">
        <v>542</v>
      </c>
      <c r="B585">
        <v>3</v>
      </c>
      <c r="H585" s="3">
        <v>540</v>
      </c>
      <c r="I585">
        <v>7</v>
      </c>
      <c r="L585" s="3">
        <v>554</v>
      </c>
      <c r="M585">
        <v>5</v>
      </c>
    </row>
    <row r="586" spans="1:13">
      <c r="A586" s="3">
        <v>543</v>
      </c>
      <c r="B586">
        <v>3</v>
      </c>
      <c r="H586" s="3">
        <v>541</v>
      </c>
      <c r="I586">
        <v>6</v>
      </c>
      <c r="L586" s="3">
        <v>555</v>
      </c>
      <c r="M586">
        <v>61</v>
      </c>
    </row>
    <row r="587" spans="1:13">
      <c r="A587" s="3">
        <v>544</v>
      </c>
      <c r="B587">
        <v>2</v>
      </c>
      <c r="H587" s="3">
        <v>542</v>
      </c>
      <c r="I587">
        <v>6</v>
      </c>
      <c r="L587" s="3">
        <v>556</v>
      </c>
      <c r="M587">
        <v>1</v>
      </c>
    </row>
    <row r="588" spans="1:13">
      <c r="A588" s="3">
        <v>545</v>
      </c>
      <c r="B588">
        <v>5</v>
      </c>
      <c r="H588" s="3">
        <v>543</v>
      </c>
      <c r="I588">
        <v>8</v>
      </c>
      <c r="L588" s="3">
        <v>557</v>
      </c>
      <c r="M588">
        <v>10</v>
      </c>
    </row>
    <row r="589" spans="1:13">
      <c r="A589" s="3">
        <v>546</v>
      </c>
      <c r="B589">
        <v>3</v>
      </c>
      <c r="H589" s="3">
        <v>544</v>
      </c>
      <c r="I589">
        <v>7</v>
      </c>
      <c r="L589" s="3">
        <v>558</v>
      </c>
      <c r="M589">
        <v>11</v>
      </c>
    </row>
    <row r="590" spans="1:13">
      <c r="A590" s="3">
        <v>547</v>
      </c>
      <c r="B590">
        <v>3</v>
      </c>
      <c r="H590" s="3">
        <v>545</v>
      </c>
      <c r="I590">
        <v>10</v>
      </c>
      <c r="L590" s="3">
        <v>559</v>
      </c>
      <c r="M590">
        <v>10</v>
      </c>
    </row>
    <row r="591" spans="1:13">
      <c r="A591" s="3">
        <v>548</v>
      </c>
      <c r="B591">
        <v>5</v>
      </c>
      <c r="H591" s="3">
        <v>546</v>
      </c>
      <c r="I591">
        <v>6</v>
      </c>
      <c r="L591" s="3">
        <v>560</v>
      </c>
      <c r="M591">
        <v>1</v>
      </c>
    </row>
    <row r="592" spans="1:13">
      <c r="A592" s="3">
        <v>549</v>
      </c>
      <c r="B592">
        <v>3</v>
      </c>
      <c r="H592" s="3">
        <v>547</v>
      </c>
      <c r="I592">
        <v>9</v>
      </c>
      <c r="L592" s="3">
        <v>561</v>
      </c>
      <c r="M592">
        <v>4</v>
      </c>
    </row>
    <row r="593" spans="1:13">
      <c r="A593" s="3">
        <v>550</v>
      </c>
      <c r="B593">
        <v>5</v>
      </c>
      <c r="H593" s="3">
        <v>548</v>
      </c>
      <c r="I593">
        <v>5</v>
      </c>
      <c r="L593" s="3">
        <v>562</v>
      </c>
      <c r="M593">
        <v>8</v>
      </c>
    </row>
    <row r="594" spans="1:13">
      <c r="A594" s="3">
        <v>551</v>
      </c>
      <c r="B594">
        <v>3</v>
      </c>
      <c r="H594" s="3">
        <v>549</v>
      </c>
      <c r="I594">
        <v>10</v>
      </c>
      <c r="L594" s="3">
        <v>563</v>
      </c>
      <c r="M594">
        <v>48</v>
      </c>
    </row>
    <row r="595" spans="1:13">
      <c r="A595" s="3">
        <v>552</v>
      </c>
      <c r="B595">
        <v>1</v>
      </c>
      <c r="H595" s="3">
        <v>550</v>
      </c>
      <c r="I595">
        <v>6</v>
      </c>
      <c r="L595" s="3">
        <v>564</v>
      </c>
      <c r="M595">
        <v>78</v>
      </c>
    </row>
    <row r="596" spans="1:13">
      <c r="A596" s="3">
        <v>553</v>
      </c>
      <c r="B596">
        <v>4.5</v>
      </c>
      <c r="H596" s="3">
        <v>551</v>
      </c>
      <c r="I596">
        <v>6</v>
      </c>
      <c r="L596" s="3">
        <v>565</v>
      </c>
      <c r="M596">
        <v>0</v>
      </c>
    </row>
    <row r="597" spans="1:13">
      <c r="A597" s="3">
        <v>554</v>
      </c>
      <c r="B597">
        <v>2</v>
      </c>
      <c r="H597" s="3">
        <v>552</v>
      </c>
      <c r="I597">
        <v>10</v>
      </c>
      <c r="L597" s="3">
        <v>566</v>
      </c>
      <c r="M597">
        <v>28</v>
      </c>
    </row>
    <row r="598" spans="1:13">
      <c r="A598" s="3">
        <v>555</v>
      </c>
      <c r="B598">
        <v>3</v>
      </c>
      <c r="H598" s="3">
        <v>553</v>
      </c>
      <c r="I598">
        <v>8</v>
      </c>
      <c r="L598" s="3">
        <v>567</v>
      </c>
      <c r="M598">
        <v>7</v>
      </c>
    </row>
    <row r="599" spans="1:13">
      <c r="A599" s="3">
        <v>556</v>
      </c>
      <c r="B599">
        <v>1</v>
      </c>
      <c r="H599" s="3">
        <v>554</v>
      </c>
      <c r="I599">
        <v>6</v>
      </c>
      <c r="L599" s="3">
        <v>568</v>
      </c>
      <c r="M599">
        <v>10</v>
      </c>
    </row>
    <row r="600" spans="1:13">
      <c r="A600" s="3">
        <v>557</v>
      </c>
      <c r="B600">
        <v>5</v>
      </c>
      <c r="H600" s="3">
        <v>555</v>
      </c>
      <c r="I600">
        <v>7</v>
      </c>
      <c r="L600" s="3">
        <v>569</v>
      </c>
      <c r="M600">
        <v>10</v>
      </c>
    </row>
    <row r="601" spans="1:13">
      <c r="A601" s="3">
        <v>558</v>
      </c>
      <c r="B601">
        <v>2</v>
      </c>
      <c r="H601" s="3">
        <v>556</v>
      </c>
      <c r="I601">
        <v>8</v>
      </c>
      <c r="L601" s="3">
        <v>570</v>
      </c>
      <c r="M601">
        <v>78</v>
      </c>
    </row>
    <row r="602" spans="1:13">
      <c r="A602" s="3">
        <v>559</v>
      </c>
      <c r="B602">
        <v>3</v>
      </c>
      <c r="H602" s="3">
        <v>557</v>
      </c>
      <c r="I602">
        <v>9</v>
      </c>
      <c r="L602" s="3">
        <v>571</v>
      </c>
      <c r="M602">
        <v>5</v>
      </c>
    </row>
    <row r="603" spans="1:13">
      <c r="A603" s="3">
        <v>560</v>
      </c>
      <c r="B603">
        <v>4.5</v>
      </c>
      <c r="H603" s="3">
        <v>558</v>
      </c>
      <c r="I603">
        <v>7</v>
      </c>
      <c r="L603" s="3">
        <v>572</v>
      </c>
      <c r="M603">
        <v>9</v>
      </c>
    </row>
    <row r="604" spans="1:13">
      <c r="A604" s="3">
        <v>561</v>
      </c>
      <c r="B604">
        <v>4.5</v>
      </c>
      <c r="H604" s="3">
        <v>559</v>
      </c>
      <c r="I604">
        <v>9</v>
      </c>
      <c r="L604" s="3">
        <v>573</v>
      </c>
      <c r="M604">
        <v>1</v>
      </c>
    </row>
    <row r="605" spans="1:13">
      <c r="A605" s="3">
        <v>562</v>
      </c>
      <c r="B605">
        <v>2</v>
      </c>
      <c r="H605" s="3">
        <v>560</v>
      </c>
      <c r="I605">
        <v>6</v>
      </c>
      <c r="L605" s="3">
        <v>574</v>
      </c>
      <c r="M605">
        <v>10</v>
      </c>
    </row>
    <row r="606" spans="1:13">
      <c r="A606" s="3">
        <v>563</v>
      </c>
      <c r="B606">
        <v>4.5</v>
      </c>
      <c r="H606" s="3">
        <v>561</v>
      </c>
      <c r="I606">
        <v>5</v>
      </c>
      <c r="L606" s="3">
        <v>575</v>
      </c>
      <c r="M606">
        <v>15</v>
      </c>
    </row>
    <row r="607" spans="1:13">
      <c r="A607" s="3">
        <v>564</v>
      </c>
      <c r="B607">
        <v>5</v>
      </c>
      <c r="H607" s="3">
        <v>562</v>
      </c>
      <c r="I607">
        <v>8</v>
      </c>
      <c r="L607" s="3">
        <v>576</v>
      </c>
      <c r="M607">
        <v>6</v>
      </c>
    </row>
    <row r="608" spans="1:13">
      <c r="A608" s="3">
        <v>565</v>
      </c>
      <c r="B608">
        <v>4.5</v>
      </c>
      <c r="H608" s="3">
        <v>563</v>
      </c>
      <c r="I608">
        <v>5</v>
      </c>
      <c r="L608" s="3">
        <v>577</v>
      </c>
      <c r="M608">
        <v>2</v>
      </c>
    </row>
    <row r="609" spans="1:13">
      <c r="A609" s="3">
        <v>566</v>
      </c>
      <c r="B609">
        <v>5</v>
      </c>
      <c r="H609" s="3">
        <v>564</v>
      </c>
      <c r="I609">
        <v>8</v>
      </c>
      <c r="L609" s="3">
        <v>578</v>
      </c>
      <c r="M609">
        <v>8</v>
      </c>
    </row>
    <row r="610" spans="1:13">
      <c r="A610" s="3">
        <v>567</v>
      </c>
      <c r="B610">
        <v>3</v>
      </c>
      <c r="H610" s="3">
        <v>565</v>
      </c>
      <c r="I610">
        <v>10</v>
      </c>
      <c r="L610" s="3">
        <v>579</v>
      </c>
      <c r="M610">
        <v>15</v>
      </c>
    </row>
    <row r="611" spans="1:13">
      <c r="A611" s="3">
        <v>568</v>
      </c>
      <c r="B611">
        <v>5</v>
      </c>
      <c r="H611" s="3">
        <v>566</v>
      </c>
      <c r="I611">
        <v>5</v>
      </c>
      <c r="L611" s="3">
        <v>580</v>
      </c>
      <c r="M611">
        <v>10</v>
      </c>
    </row>
    <row r="612" spans="1:13">
      <c r="A612" s="3">
        <v>569</v>
      </c>
      <c r="B612">
        <v>4.5</v>
      </c>
      <c r="H612" s="3">
        <v>567</v>
      </c>
      <c r="I612">
        <v>8</v>
      </c>
      <c r="L612" s="3">
        <v>581</v>
      </c>
      <c r="M612">
        <v>2</v>
      </c>
    </row>
    <row r="613" spans="1:13">
      <c r="A613" s="3">
        <v>570</v>
      </c>
      <c r="B613">
        <v>4.5</v>
      </c>
      <c r="H613" s="3">
        <v>568</v>
      </c>
      <c r="I613">
        <v>7</v>
      </c>
      <c r="L613" s="3">
        <v>582</v>
      </c>
      <c r="M613">
        <v>7</v>
      </c>
    </row>
    <row r="614" spans="1:13">
      <c r="A614" s="3">
        <v>571</v>
      </c>
      <c r="B614">
        <v>4.5</v>
      </c>
      <c r="H614" s="3">
        <v>569</v>
      </c>
      <c r="I614">
        <v>7</v>
      </c>
      <c r="L614" s="3">
        <v>583</v>
      </c>
      <c r="M614">
        <v>8</v>
      </c>
    </row>
    <row r="615" spans="1:13">
      <c r="A615" s="3">
        <v>572</v>
      </c>
      <c r="B615">
        <v>5</v>
      </c>
      <c r="H615" s="3">
        <v>570</v>
      </c>
      <c r="I615">
        <v>6</v>
      </c>
      <c r="L615" s="3">
        <v>584</v>
      </c>
      <c r="M615">
        <v>6</v>
      </c>
    </row>
    <row r="616" spans="1:13">
      <c r="A616" s="3">
        <v>573</v>
      </c>
      <c r="B616">
        <v>5</v>
      </c>
      <c r="H616" s="3">
        <v>571</v>
      </c>
      <c r="I616">
        <v>9</v>
      </c>
      <c r="L616" s="3">
        <v>585</v>
      </c>
      <c r="M616">
        <v>4</v>
      </c>
    </row>
    <row r="617" spans="1:13">
      <c r="A617" s="3">
        <v>574</v>
      </c>
      <c r="B617">
        <v>5</v>
      </c>
      <c r="H617" s="3">
        <v>572</v>
      </c>
      <c r="I617">
        <v>5</v>
      </c>
      <c r="L617" s="3">
        <v>586</v>
      </c>
      <c r="M617">
        <v>2</v>
      </c>
    </row>
    <row r="618" spans="1:13">
      <c r="A618" s="3">
        <v>575</v>
      </c>
      <c r="B618">
        <v>4.5</v>
      </c>
      <c r="H618" s="3">
        <v>573</v>
      </c>
      <c r="I618">
        <v>10</v>
      </c>
      <c r="L618" s="3">
        <v>587</v>
      </c>
      <c r="M618">
        <v>8</v>
      </c>
    </row>
    <row r="619" spans="1:13">
      <c r="A619" s="3">
        <v>576</v>
      </c>
      <c r="B619">
        <v>2</v>
      </c>
      <c r="H619" s="3">
        <v>574</v>
      </c>
      <c r="I619">
        <v>8</v>
      </c>
      <c r="L619" s="3">
        <v>588</v>
      </c>
      <c r="M619">
        <v>1</v>
      </c>
    </row>
    <row r="620" spans="1:13">
      <c r="A620" s="3">
        <v>577</v>
      </c>
      <c r="B620">
        <v>4.5</v>
      </c>
      <c r="H620" s="3">
        <v>575</v>
      </c>
      <c r="I620">
        <v>6</v>
      </c>
      <c r="L620" s="3">
        <v>589</v>
      </c>
      <c r="M620">
        <v>6</v>
      </c>
    </row>
    <row r="621" spans="1:13">
      <c r="A621" s="3">
        <v>578</v>
      </c>
      <c r="B621">
        <v>1</v>
      </c>
      <c r="H621" s="3">
        <v>576</v>
      </c>
      <c r="I621">
        <v>7</v>
      </c>
      <c r="L621" s="3">
        <v>590</v>
      </c>
      <c r="M621">
        <v>3</v>
      </c>
    </row>
    <row r="622" spans="1:13">
      <c r="A622" s="3">
        <v>579</v>
      </c>
      <c r="B622">
        <v>4.5</v>
      </c>
      <c r="H622" s="3">
        <v>577</v>
      </c>
      <c r="I622">
        <v>6</v>
      </c>
      <c r="L622" s="3">
        <v>591</v>
      </c>
      <c r="M622">
        <v>6</v>
      </c>
    </row>
    <row r="623" spans="1:13">
      <c r="A623" s="3">
        <v>580</v>
      </c>
      <c r="B623">
        <v>5</v>
      </c>
      <c r="H623" s="3">
        <v>578</v>
      </c>
      <c r="I623">
        <v>7</v>
      </c>
      <c r="L623" s="3">
        <v>592</v>
      </c>
      <c r="M623">
        <v>4</v>
      </c>
    </row>
    <row r="624" spans="1:13">
      <c r="A624" s="3">
        <v>581</v>
      </c>
      <c r="B624">
        <v>4.5</v>
      </c>
      <c r="H624" s="3">
        <v>579</v>
      </c>
      <c r="I624">
        <v>7</v>
      </c>
      <c r="L624" s="3">
        <v>593</v>
      </c>
      <c r="M624">
        <v>6</v>
      </c>
    </row>
    <row r="625" spans="1:13">
      <c r="A625" s="3">
        <v>582</v>
      </c>
      <c r="B625">
        <v>4.5</v>
      </c>
      <c r="H625" s="3">
        <v>580</v>
      </c>
      <c r="I625">
        <v>8</v>
      </c>
      <c r="L625" s="3">
        <v>594</v>
      </c>
      <c r="M625">
        <v>8</v>
      </c>
    </row>
    <row r="626" spans="1:13">
      <c r="A626" s="3">
        <v>583</v>
      </c>
      <c r="B626">
        <v>2</v>
      </c>
      <c r="H626" s="3">
        <v>581</v>
      </c>
      <c r="I626">
        <v>6</v>
      </c>
      <c r="L626" s="3">
        <v>595</v>
      </c>
      <c r="M626">
        <v>5</v>
      </c>
    </row>
    <row r="627" spans="1:13">
      <c r="A627" s="3">
        <v>584</v>
      </c>
      <c r="B627">
        <v>3</v>
      </c>
      <c r="H627" s="3">
        <v>582</v>
      </c>
      <c r="I627">
        <v>6</v>
      </c>
      <c r="L627" s="3">
        <v>596</v>
      </c>
      <c r="M627">
        <v>2</v>
      </c>
    </row>
    <row r="628" spans="1:13">
      <c r="A628" s="3">
        <v>585</v>
      </c>
      <c r="B628">
        <v>5</v>
      </c>
      <c r="H628" s="3">
        <v>583</v>
      </c>
      <c r="I628">
        <v>6</v>
      </c>
      <c r="L628" s="3">
        <v>597</v>
      </c>
      <c r="M628">
        <v>7</v>
      </c>
    </row>
    <row r="629" spans="1:13">
      <c r="A629" s="3">
        <v>586</v>
      </c>
      <c r="B629">
        <v>3</v>
      </c>
      <c r="H629" s="3">
        <v>584</v>
      </c>
      <c r="I629">
        <v>6</v>
      </c>
      <c r="L629" s="3">
        <v>598</v>
      </c>
      <c r="M629">
        <v>8</v>
      </c>
    </row>
    <row r="630" spans="1:13">
      <c r="A630" s="3">
        <v>587</v>
      </c>
      <c r="B630">
        <v>2</v>
      </c>
      <c r="H630" s="3">
        <v>585</v>
      </c>
      <c r="I630">
        <v>7</v>
      </c>
      <c r="L630" s="3">
        <v>599</v>
      </c>
      <c r="M630">
        <v>6</v>
      </c>
    </row>
    <row r="631" spans="1:13">
      <c r="A631" s="3">
        <v>588</v>
      </c>
      <c r="B631">
        <v>1</v>
      </c>
      <c r="H631" s="3">
        <v>586</v>
      </c>
      <c r="I631">
        <v>9</v>
      </c>
      <c r="L631" s="3">
        <v>600</v>
      </c>
      <c r="M631">
        <v>8</v>
      </c>
    </row>
    <row r="632" spans="1:13">
      <c r="A632" s="3">
        <v>589</v>
      </c>
      <c r="B632">
        <v>5</v>
      </c>
      <c r="H632" s="3">
        <v>587</v>
      </c>
      <c r="I632">
        <v>5</v>
      </c>
      <c r="L632" s="3">
        <v>601</v>
      </c>
      <c r="M632">
        <v>0</v>
      </c>
    </row>
    <row r="633" spans="1:13">
      <c r="A633" s="3">
        <v>590</v>
      </c>
      <c r="B633">
        <v>1</v>
      </c>
      <c r="H633" s="3">
        <v>588</v>
      </c>
      <c r="I633">
        <v>6</v>
      </c>
      <c r="L633" s="3">
        <v>602</v>
      </c>
      <c r="M633">
        <v>3</v>
      </c>
    </row>
    <row r="634" spans="1:13">
      <c r="A634" s="3">
        <v>591</v>
      </c>
      <c r="B634">
        <v>5</v>
      </c>
      <c r="H634" s="3">
        <v>589</v>
      </c>
      <c r="I634">
        <v>5</v>
      </c>
      <c r="L634" s="3">
        <v>603</v>
      </c>
      <c r="M634">
        <v>2</v>
      </c>
    </row>
    <row r="635" spans="1:13">
      <c r="A635" s="3">
        <v>592</v>
      </c>
      <c r="B635">
        <v>3</v>
      </c>
      <c r="H635" s="3">
        <v>590</v>
      </c>
      <c r="I635">
        <v>6</v>
      </c>
      <c r="L635" s="3">
        <v>604</v>
      </c>
      <c r="M635">
        <v>6</v>
      </c>
    </row>
    <row r="636" spans="1:13">
      <c r="A636" s="3">
        <v>593</v>
      </c>
      <c r="B636">
        <v>2</v>
      </c>
      <c r="H636" s="3">
        <v>591</v>
      </c>
      <c r="I636">
        <v>6</v>
      </c>
      <c r="L636" s="3">
        <v>605</v>
      </c>
      <c r="M636">
        <v>3</v>
      </c>
    </row>
    <row r="637" spans="1:13">
      <c r="A637" s="3">
        <v>594</v>
      </c>
      <c r="B637">
        <v>4.5</v>
      </c>
      <c r="H637" s="3">
        <v>592</v>
      </c>
      <c r="I637">
        <v>6</v>
      </c>
      <c r="L637" s="3">
        <v>606</v>
      </c>
      <c r="M637">
        <v>1</v>
      </c>
    </row>
    <row r="638" spans="1:13">
      <c r="A638" s="3">
        <v>595</v>
      </c>
      <c r="B638">
        <v>2</v>
      </c>
      <c r="H638" s="3">
        <v>593</v>
      </c>
      <c r="I638">
        <v>6</v>
      </c>
      <c r="L638" s="3">
        <v>607</v>
      </c>
      <c r="M638">
        <v>8</v>
      </c>
    </row>
    <row r="639" spans="1:13">
      <c r="A639" s="3">
        <v>596</v>
      </c>
      <c r="B639">
        <v>1</v>
      </c>
      <c r="H639" s="3">
        <v>594</v>
      </c>
      <c r="I639">
        <v>8</v>
      </c>
      <c r="L639" s="3">
        <v>608</v>
      </c>
      <c r="M639">
        <v>6</v>
      </c>
    </row>
    <row r="640" spans="1:13">
      <c r="A640" s="3">
        <v>597</v>
      </c>
      <c r="B640">
        <v>4.5</v>
      </c>
      <c r="H640" s="3">
        <v>595</v>
      </c>
      <c r="I640">
        <v>6</v>
      </c>
      <c r="L640" s="3">
        <v>609</v>
      </c>
      <c r="M640">
        <v>10</v>
      </c>
    </row>
    <row r="641" spans="1:13">
      <c r="A641" s="3">
        <v>598</v>
      </c>
      <c r="B641">
        <v>2</v>
      </c>
      <c r="H641" s="3">
        <v>596</v>
      </c>
      <c r="I641">
        <v>8</v>
      </c>
      <c r="L641" s="3">
        <v>610</v>
      </c>
      <c r="M641">
        <v>7</v>
      </c>
    </row>
    <row r="642" spans="1:13">
      <c r="A642" s="3">
        <v>599</v>
      </c>
      <c r="B642">
        <v>1</v>
      </c>
      <c r="H642" s="3">
        <v>597</v>
      </c>
      <c r="I642">
        <v>8</v>
      </c>
      <c r="L642" s="3">
        <v>611</v>
      </c>
      <c r="M642">
        <v>6</v>
      </c>
    </row>
    <row r="643" spans="1:13">
      <c r="A643" s="3">
        <v>600</v>
      </c>
      <c r="B643">
        <v>5</v>
      </c>
      <c r="H643" s="3">
        <v>598</v>
      </c>
      <c r="I643">
        <v>9</v>
      </c>
      <c r="L643" s="3">
        <v>612</v>
      </c>
      <c r="M643">
        <v>7</v>
      </c>
    </row>
    <row r="644" spans="1:13">
      <c r="A644" s="3">
        <v>601</v>
      </c>
      <c r="B644">
        <v>5</v>
      </c>
      <c r="H644" s="3">
        <v>599</v>
      </c>
      <c r="I644">
        <v>9</v>
      </c>
      <c r="L644" s="3">
        <v>613</v>
      </c>
      <c r="M644">
        <v>4</v>
      </c>
    </row>
    <row r="645" spans="1:13">
      <c r="A645" s="3">
        <v>602</v>
      </c>
      <c r="B645">
        <v>3</v>
      </c>
      <c r="H645" s="3">
        <v>600</v>
      </c>
      <c r="I645">
        <v>6</v>
      </c>
      <c r="L645" s="3">
        <v>614</v>
      </c>
      <c r="M645">
        <v>6</v>
      </c>
    </row>
    <row r="646" spans="1:13">
      <c r="A646" s="3">
        <v>603</v>
      </c>
      <c r="B646">
        <v>5</v>
      </c>
      <c r="H646" s="3">
        <v>601</v>
      </c>
      <c r="I646">
        <v>6</v>
      </c>
      <c r="L646" s="3">
        <v>615</v>
      </c>
      <c r="M646">
        <v>4</v>
      </c>
    </row>
    <row r="647" spans="1:13">
      <c r="A647" s="3">
        <v>604</v>
      </c>
      <c r="B647">
        <v>5</v>
      </c>
      <c r="H647" s="3">
        <v>602</v>
      </c>
      <c r="I647">
        <v>7</v>
      </c>
      <c r="L647" s="3">
        <v>616</v>
      </c>
      <c r="M647">
        <v>8</v>
      </c>
    </row>
    <row r="648" spans="1:13">
      <c r="A648" s="3">
        <v>605</v>
      </c>
      <c r="B648">
        <v>1</v>
      </c>
      <c r="H648" s="3">
        <v>603</v>
      </c>
      <c r="I648">
        <v>10</v>
      </c>
      <c r="L648" s="3">
        <v>617</v>
      </c>
      <c r="M648">
        <v>1</v>
      </c>
    </row>
    <row r="649" spans="1:13">
      <c r="A649" s="3">
        <v>606</v>
      </c>
      <c r="B649">
        <v>3</v>
      </c>
      <c r="H649" s="3">
        <v>604</v>
      </c>
      <c r="I649">
        <v>9</v>
      </c>
      <c r="L649" s="3">
        <v>618</v>
      </c>
      <c r="M649">
        <v>3</v>
      </c>
    </row>
    <row r="650" spans="1:13">
      <c r="A650" s="3">
        <v>607</v>
      </c>
      <c r="B650">
        <v>5</v>
      </c>
      <c r="H650" s="3">
        <v>605</v>
      </c>
      <c r="I650">
        <v>6</v>
      </c>
      <c r="L650" s="3">
        <v>619</v>
      </c>
      <c r="M650">
        <v>0</v>
      </c>
    </row>
    <row r="651" spans="1:13">
      <c r="A651" s="3">
        <v>608</v>
      </c>
      <c r="B651">
        <v>5</v>
      </c>
      <c r="H651" s="3">
        <v>606</v>
      </c>
      <c r="I651">
        <v>8</v>
      </c>
      <c r="L651" s="3">
        <v>620</v>
      </c>
      <c r="M651">
        <v>7</v>
      </c>
    </row>
    <row r="652" spans="1:13">
      <c r="A652" s="3">
        <v>609</v>
      </c>
      <c r="B652">
        <v>5</v>
      </c>
      <c r="H652" s="3">
        <v>607</v>
      </c>
      <c r="I652">
        <v>7</v>
      </c>
      <c r="L652" s="3">
        <v>621</v>
      </c>
      <c r="M652">
        <v>1</v>
      </c>
    </row>
    <row r="653" spans="1:13">
      <c r="A653" s="3">
        <v>610</v>
      </c>
      <c r="B653">
        <v>5</v>
      </c>
      <c r="H653" s="3">
        <v>608</v>
      </c>
      <c r="I653">
        <v>5</v>
      </c>
      <c r="L653" s="3">
        <v>622</v>
      </c>
      <c r="M653">
        <v>10</v>
      </c>
    </row>
    <row r="654" spans="1:13">
      <c r="A654" s="3">
        <v>611</v>
      </c>
      <c r="B654">
        <v>4.5</v>
      </c>
      <c r="H654" s="3">
        <v>609</v>
      </c>
      <c r="I654">
        <v>10</v>
      </c>
      <c r="L654" s="3">
        <v>623</v>
      </c>
      <c r="M654">
        <v>50</v>
      </c>
    </row>
    <row r="655" spans="1:13">
      <c r="A655" s="3">
        <v>612</v>
      </c>
      <c r="B655">
        <v>5</v>
      </c>
      <c r="H655" s="3">
        <v>610</v>
      </c>
      <c r="I655">
        <v>8</v>
      </c>
      <c r="L655" s="3">
        <v>624</v>
      </c>
      <c r="M655">
        <v>1</v>
      </c>
    </row>
    <row r="656" spans="1:13">
      <c r="A656" s="3">
        <v>613</v>
      </c>
      <c r="B656">
        <v>5</v>
      </c>
      <c r="H656" s="3">
        <v>611</v>
      </c>
      <c r="I656">
        <v>9</v>
      </c>
      <c r="L656" s="3">
        <v>625</v>
      </c>
      <c r="M656">
        <v>4</v>
      </c>
    </row>
    <row r="657" spans="1:13">
      <c r="A657" s="3">
        <v>614</v>
      </c>
      <c r="B657">
        <v>5</v>
      </c>
      <c r="H657" s="3">
        <v>612</v>
      </c>
      <c r="I657">
        <v>8</v>
      </c>
      <c r="L657" s="3">
        <v>626</v>
      </c>
      <c r="M657">
        <v>14</v>
      </c>
    </row>
    <row r="658" spans="1:13">
      <c r="A658" s="3">
        <v>615</v>
      </c>
      <c r="B658">
        <v>3</v>
      </c>
      <c r="H658" s="3">
        <v>613</v>
      </c>
      <c r="I658">
        <v>9</v>
      </c>
      <c r="L658" s="3">
        <v>627</v>
      </c>
      <c r="M658">
        <v>5</v>
      </c>
    </row>
    <row r="659" spans="1:13">
      <c r="A659" s="3">
        <v>616</v>
      </c>
      <c r="B659">
        <v>3</v>
      </c>
      <c r="H659" s="3">
        <v>614</v>
      </c>
      <c r="I659">
        <v>7</v>
      </c>
      <c r="L659" s="3">
        <v>628</v>
      </c>
      <c r="M659">
        <v>2</v>
      </c>
    </row>
    <row r="660" spans="1:13">
      <c r="A660" s="3">
        <v>617</v>
      </c>
      <c r="B660">
        <v>4.5</v>
      </c>
      <c r="H660" s="3">
        <v>615</v>
      </c>
      <c r="I660">
        <v>9</v>
      </c>
      <c r="L660" s="3">
        <v>629</v>
      </c>
      <c r="M660">
        <v>7</v>
      </c>
    </row>
    <row r="661" spans="1:13">
      <c r="A661" s="3">
        <v>618</v>
      </c>
      <c r="B661">
        <v>3</v>
      </c>
      <c r="H661" s="3">
        <v>616</v>
      </c>
      <c r="I661">
        <v>8</v>
      </c>
      <c r="L661" s="3">
        <v>630</v>
      </c>
      <c r="M661">
        <v>7</v>
      </c>
    </row>
    <row r="662" spans="1:13">
      <c r="A662" s="3">
        <v>619</v>
      </c>
      <c r="B662">
        <v>3</v>
      </c>
      <c r="H662" s="3">
        <v>617</v>
      </c>
      <c r="I662">
        <v>6</v>
      </c>
      <c r="L662" s="3">
        <v>631</v>
      </c>
      <c r="M662">
        <v>5</v>
      </c>
    </row>
    <row r="663" spans="1:13">
      <c r="A663" s="3">
        <v>620</v>
      </c>
      <c r="B663">
        <v>3</v>
      </c>
      <c r="H663" s="3">
        <v>618</v>
      </c>
      <c r="I663">
        <v>8</v>
      </c>
      <c r="L663" s="3">
        <v>632</v>
      </c>
      <c r="M663">
        <v>2</v>
      </c>
    </row>
    <row r="664" spans="1:13">
      <c r="A664" s="3">
        <v>621</v>
      </c>
      <c r="B664">
        <v>4.5</v>
      </c>
      <c r="H664" s="3">
        <v>619</v>
      </c>
      <c r="I664">
        <v>6</v>
      </c>
      <c r="L664" s="3">
        <v>633</v>
      </c>
      <c r="M664">
        <v>9</v>
      </c>
    </row>
    <row r="665" spans="1:13">
      <c r="A665" s="3">
        <v>622</v>
      </c>
      <c r="B665">
        <v>2</v>
      </c>
      <c r="H665" s="3">
        <v>620</v>
      </c>
      <c r="I665">
        <v>6</v>
      </c>
      <c r="L665" s="3">
        <v>634</v>
      </c>
      <c r="M665">
        <v>5</v>
      </c>
    </row>
    <row r="666" spans="1:13">
      <c r="A666" s="3">
        <v>623</v>
      </c>
      <c r="B666">
        <v>3</v>
      </c>
      <c r="H666" s="3">
        <v>621</v>
      </c>
      <c r="I666">
        <v>7</v>
      </c>
      <c r="L666" s="3">
        <v>635</v>
      </c>
      <c r="M666">
        <v>8</v>
      </c>
    </row>
    <row r="667" spans="1:13">
      <c r="A667" s="3">
        <v>624</v>
      </c>
      <c r="B667">
        <v>4.5</v>
      </c>
      <c r="H667" s="3">
        <v>622</v>
      </c>
      <c r="I667">
        <v>6</v>
      </c>
      <c r="L667" s="3">
        <v>636</v>
      </c>
      <c r="M667">
        <v>2</v>
      </c>
    </row>
    <row r="668" spans="1:13">
      <c r="A668" s="3">
        <v>625</v>
      </c>
      <c r="B668">
        <v>3</v>
      </c>
      <c r="H668" s="3">
        <v>623</v>
      </c>
      <c r="I668">
        <v>7</v>
      </c>
      <c r="L668" s="3">
        <v>637</v>
      </c>
      <c r="M668">
        <v>0</v>
      </c>
    </row>
    <row r="669" spans="1:13">
      <c r="A669" s="3">
        <v>626</v>
      </c>
      <c r="B669">
        <v>2</v>
      </c>
      <c r="H669" s="3">
        <v>624</v>
      </c>
      <c r="I669">
        <v>7</v>
      </c>
      <c r="L669" s="3">
        <v>638</v>
      </c>
      <c r="M669">
        <v>7</v>
      </c>
    </row>
    <row r="670" spans="1:13">
      <c r="A670" s="3">
        <v>627</v>
      </c>
      <c r="B670">
        <v>5</v>
      </c>
      <c r="H670" s="3">
        <v>625</v>
      </c>
      <c r="I670">
        <v>7</v>
      </c>
      <c r="L670" s="3">
        <v>639</v>
      </c>
      <c r="M670">
        <v>3</v>
      </c>
    </row>
    <row r="671" spans="1:13">
      <c r="A671" s="3">
        <v>628</v>
      </c>
      <c r="B671">
        <v>4.5</v>
      </c>
      <c r="H671" s="3">
        <v>626</v>
      </c>
      <c r="I671">
        <v>6</v>
      </c>
      <c r="L671" s="3">
        <v>640</v>
      </c>
      <c r="M671">
        <v>4</v>
      </c>
    </row>
    <row r="672" spans="1:13">
      <c r="A672" s="3">
        <v>629</v>
      </c>
      <c r="B672">
        <v>4.5</v>
      </c>
      <c r="H672" s="3">
        <v>627</v>
      </c>
      <c r="I672">
        <v>8</v>
      </c>
      <c r="L672" s="3">
        <v>641</v>
      </c>
      <c r="M672">
        <v>10</v>
      </c>
    </row>
    <row r="673" spans="1:13">
      <c r="A673" s="3">
        <v>630</v>
      </c>
      <c r="B673">
        <v>5</v>
      </c>
      <c r="H673" s="3">
        <v>628</v>
      </c>
      <c r="I673">
        <v>5</v>
      </c>
      <c r="L673" s="3">
        <v>642</v>
      </c>
      <c r="M673">
        <v>3</v>
      </c>
    </row>
    <row r="674" spans="1:13">
      <c r="A674" s="3">
        <v>631</v>
      </c>
      <c r="B674">
        <v>3</v>
      </c>
      <c r="H674" s="3">
        <v>629</v>
      </c>
      <c r="I674">
        <v>7</v>
      </c>
      <c r="L674" s="3">
        <v>643</v>
      </c>
      <c r="M674">
        <v>10</v>
      </c>
    </row>
    <row r="675" spans="1:13">
      <c r="A675" s="3">
        <v>632</v>
      </c>
      <c r="B675">
        <v>1</v>
      </c>
      <c r="H675" s="3">
        <v>630</v>
      </c>
      <c r="I675">
        <v>6</v>
      </c>
      <c r="L675" s="3">
        <v>644</v>
      </c>
      <c r="M675">
        <v>8</v>
      </c>
    </row>
    <row r="676" spans="1:13">
      <c r="A676" s="3">
        <v>633</v>
      </c>
      <c r="B676">
        <v>5</v>
      </c>
      <c r="H676" s="3">
        <v>631</v>
      </c>
      <c r="I676">
        <v>7</v>
      </c>
      <c r="L676" s="3">
        <v>645</v>
      </c>
      <c r="M676">
        <v>10</v>
      </c>
    </row>
    <row r="677" spans="1:13">
      <c r="A677" s="3">
        <v>634</v>
      </c>
      <c r="B677">
        <v>5</v>
      </c>
      <c r="H677" s="3">
        <v>632</v>
      </c>
      <c r="I677">
        <v>6</v>
      </c>
      <c r="L677" s="3">
        <v>646</v>
      </c>
      <c r="M677">
        <v>7</v>
      </c>
    </row>
    <row r="678" spans="1:13">
      <c r="A678" s="3">
        <v>635</v>
      </c>
      <c r="B678">
        <v>5</v>
      </c>
      <c r="H678" s="3">
        <v>633</v>
      </c>
      <c r="I678">
        <v>7</v>
      </c>
      <c r="L678" s="3">
        <v>647</v>
      </c>
      <c r="M678">
        <v>100</v>
      </c>
    </row>
    <row r="679" spans="1:13">
      <c r="A679" s="3">
        <v>636</v>
      </c>
      <c r="B679">
        <v>3</v>
      </c>
      <c r="H679" s="3">
        <v>634</v>
      </c>
      <c r="I679">
        <v>7</v>
      </c>
      <c r="L679" s="3">
        <v>648</v>
      </c>
      <c r="M679">
        <v>10</v>
      </c>
    </row>
    <row r="680" spans="1:13">
      <c r="A680" s="3">
        <v>637</v>
      </c>
      <c r="B680">
        <v>5</v>
      </c>
      <c r="H680" s="3">
        <v>635</v>
      </c>
      <c r="I680">
        <v>10</v>
      </c>
      <c r="L680" s="3">
        <v>649</v>
      </c>
      <c r="M680">
        <v>6</v>
      </c>
    </row>
    <row r="681" spans="1:13">
      <c r="A681" s="3">
        <v>638</v>
      </c>
      <c r="B681">
        <v>5</v>
      </c>
      <c r="H681" s="3">
        <v>636</v>
      </c>
      <c r="I681">
        <v>7</v>
      </c>
      <c r="L681" s="3">
        <v>650</v>
      </c>
      <c r="M681">
        <v>7</v>
      </c>
    </row>
    <row r="682" spans="1:13">
      <c r="A682" s="3">
        <v>639</v>
      </c>
      <c r="B682">
        <v>3</v>
      </c>
      <c r="H682" s="3">
        <v>637</v>
      </c>
      <c r="I682">
        <v>5</v>
      </c>
      <c r="L682" s="3">
        <v>651</v>
      </c>
      <c r="M682">
        <v>1</v>
      </c>
    </row>
    <row r="683" spans="1:13">
      <c r="A683" s="3">
        <v>640</v>
      </c>
      <c r="B683">
        <v>5</v>
      </c>
      <c r="H683" s="3">
        <v>638</v>
      </c>
      <c r="I683">
        <v>10</v>
      </c>
      <c r="L683" s="3">
        <v>652</v>
      </c>
      <c r="M683">
        <v>6</v>
      </c>
    </row>
    <row r="684" spans="1:13">
      <c r="A684" s="3">
        <v>641</v>
      </c>
      <c r="B684">
        <v>3</v>
      </c>
      <c r="H684" s="3">
        <v>639</v>
      </c>
      <c r="I684">
        <v>6</v>
      </c>
      <c r="L684" s="3">
        <v>653</v>
      </c>
      <c r="M684">
        <v>57</v>
      </c>
    </row>
    <row r="685" spans="1:13">
      <c r="A685" s="3">
        <v>642</v>
      </c>
      <c r="B685">
        <v>5</v>
      </c>
      <c r="H685" s="3">
        <v>640</v>
      </c>
      <c r="I685">
        <v>6</v>
      </c>
      <c r="L685" s="3">
        <v>654</v>
      </c>
      <c r="M685">
        <v>10</v>
      </c>
    </row>
    <row r="686" spans="1:13">
      <c r="A686" s="3">
        <v>643</v>
      </c>
      <c r="B686">
        <v>5</v>
      </c>
      <c r="H686" s="3">
        <v>641</v>
      </c>
      <c r="I686">
        <v>7</v>
      </c>
      <c r="L686" s="3">
        <v>655</v>
      </c>
      <c r="M686">
        <v>10</v>
      </c>
    </row>
    <row r="687" spans="1:13">
      <c r="A687" s="3">
        <v>644</v>
      </c>
      <c r="B687">
        <v>3</v>
      </c>
      <c r="H687" s="3">
        <v>642</v>
      </c>
      <c r="I687">
        <v>7</v>
      </c>
      <c r="L687" s="3">
        <v>656</v>
      </c>
      <c r="M687">
        <v>7</v>
      </c>
    </row>
    <row r="688" spans="1:13">
      <c r="A688" s="3">
        <v>645</v>
      </c>
      <c r="B688">
        <v>3</v>
      </c>
      <c r="H688" s="3">
        <v>643</v>
      </c>
      <c r="I688">
        <v>8</v>
      </c>
      <c r="L688" s="3">
        <v>657</v>
      </c>
      <c r="M688">
        <v>6</v>
      </c>
    </row>
    <row r="689" spans="1:13">
      <c r="A689" s="3">
        <v>646</v>
      </c>
      <c r="B689">
        <v>2</v>
      </c>
      <c r="H689" s="3">
        <v>644</v>
      </c>
      <c r="I689">
        <v>6</v>
      </c>
      <c r="L689" s="3">
        <v>658</v>
      </c>
      <c r="M689">
        <v>9</v>
      </c>
    </row>
    <row r="690" spans="1:13">
      <c r="A690" s="3">
        <v>647</v>
      </c>
      <c r="B690">
        <v>3</v>
      </c>
      <c r="H690" s="3">
        <v>645</v>
      </c>
      <c r="I690">
        <v>6</v>
      </c>
      <c r="L690" s="3">
        <v>659</v>
      </c>
      <c r="M690">
        <v>8</v>
      </c>
    </row>
    <row r="691" spans="1:13">
      <c r="A691" s="3">
        <v>648</v>
      </c>
      <c r="B691">
        <v>4.5</v>
      </c>
      <c r="H691" s="3">
        <v>646</v>
      </c>
      <c r="I691">
        <v>8</v>
      </c>
      <c r="L691" s="3">
        <v>660</v>
      </c>
      <c r="M691">
        <v>9</v>
      </c>
    </row>
    <row r="692" spans="1:13">
      <c r="A692" s="3">
        <v>649</v>
      </c>
      <c r="B692">
        <v>2</v>
      </c>
      <c r="H692" s="3">
        <v>647</v>
      </c>
      <c r="I692">
        <v>6</v>
      </c>
      <c r="L692" s="3">
        <v>661</v>
      </c>
      <c r="M692">
        <v>6</v>
      </c>
    </row>
    <row r="693" spans="1:13">
      <c r="A693" s="3">
        <v>650</v>
      </c>
      <c r="B693">
        <v>5</v>
      </c>
      <c r="H693" s="3">
        <v>648</v>
      </c>
      <c r="I693">
        <v>5</v>
      </c>
      <c r="L693" s="3">
        <v>662</v>
      </c>
      <c r="M693">
        <v>8</v>
      </c>
    </row>
    <row r="694" spans="1:13">
      <c r="A694" s="3">
        <v>651</v>
      </c>
      <c r="B694">
        <v>4.5</v>
      </c>
      <c r="H694" s="3">
        <v>649</v>
      </c>
      <c r="I694">
        <v>9</v>
      </c>
      <c r="L694" s="3">
        <v>663</v>
      </c>
      <c r="M694">
        <v>4</v>
      </c>
    </row>
    <row r="695" spans="1:13">
      <c r="A695" s="3">
        <v>652</v>
      </c>
      <c r="B695">
        <v>1</v>
      </c>
      <c r="H695" s="3">
        <v>650</v>
      </c>
      <c r="I695">
        <v>6</v>
      </c>
      <c r="L695" s="3">
        <v>664</v>
      </c>
      <c r="M695">
        <v>1</v>
      </c>
    </row>
    <row r="696" spans="1:13">
      <c r="A696" s="3">
        <v>653</v>
      </c>
      <c r="B696">
        <v>2</v>
      </c>
      <c r="H696" s="3">
        <v>651</v>
      </c>
      <c r="I696">
        <v>9</v>
      </c>
      <c r="L696" s="3">
        <v>665</v>
      </c>
      <c r="M696">
        <v>7</v>
      </c>
    </row>
    <row r="697" spans="1:13">
      <c r="A697" s="3">
        <v>654</v>
      </c>
      <c r="B697">
        <v>4.5</v>
      </c>
      <c r="H697" s="3">
        <v>652</v>
      </c>
      <c r="I697">
        <v>5</v>
      </c>
      <c r="L697" s="3">
        <v>666</v>
      </c>
      <c r="M697">
        <v>2</v>
      </c>
    </row>
    <row r="698" spans="1:13">
      <c r="A698" s="3">
        <v>655</v>
      </c>
      <c r="B698">
        <v>1</v>
      </c>
      <c r="H698" s="3">
        <v>653</v>
      </c>
      <c r="I698">
        <v>6</v>
      </c>
      <c r="L698" s="3">
        <v>667</v>
      </c>
      <c r="M698">
        <v>9</v>
      </c>
    </row>
    <row r="699" spans="1:13">
      <c r="A699" s="3">
        <v>656</v>
      </c>
      <c r="B699">
        <v>1</v>
      </c>
      <c r="H699" s="3">
        <v>654</v>
      </c>
      <c r="I699">
        <v>7</v>
      </c>
      <c r="L699" s="3">
        <v>668</v>
      </c>
      <c r="M699">
        <v>8</v>
      </c>
    </row>
    <row r="700" spans="1:13">
      <c r="A700" s="3">
        <v>657</v>
      </c>
      <c r="B700">
        <v>3</v>
      </c>
      <c r="H700" s="3">
        <v>655</v>
      </c>
      <c r="I700">
        <v>9</v>
      </c>
      <c r="L700" s="3">
        <v>669</v>
      </c>
      <c r="M700">
        <v>7</v>
      </c>
    </row>
    <row r="701" spans="1:13">
      <c r="A701" s="3">
        <v>658</v>
      </c>
      <c r="B701">
        <v>5</v>
      </c>
      <c r="H701" s="3">
        <v>656</v>
      </c>
      <c r="I701">
        <v>6</v>
      </c>
      <c r="L701" s="3">
        <v>670</v>
      </c>
      <c r="M701">
        <v>1</v>
      </c>
    </row>
    <row r="702" spans="1:13">
      <c r="A702" s="3">
        <v>659</v>
      </c>
      <c r="B702">
        <v>4.5</v>
      </c>
      <c r="H702" s="3">
        <v>657</v>
      </c>
      <c r="I702">
        <v>6</v>
      </c>
      <c r="L702" s="3">
        <v>671</v>
      </c>
      <c r="M702">
        <v>10</v>
      </c>
    </row>
    <row r="703" spans="1:13">
      <c r="A703" s="3">
        <v>660</v>
      </c>
      <c r="B703">
        <v>4.5</v>
      </c>
      <c r="H703" s="3">
        <v>658</v>
      </c>
      <c r="I703">
        <v>8</v>
      </c>
      <c r="L703" s="3">
        <v>672</v>
      </c>
      <c r="M703">
        <v>4</v>
      </c>
    </row>
    <row r="704" spans="1:13">
      <c r="A704" s="3">
        <v>661</v>
      </c>
      <c r="B704">
        <v>5</v>
      </c>
      <c r="H704" s="3">
        <v>659</v>
      </c>
      <c r="I704">
        <v>8</v>
      </c>
      <c r="L704" s="3">
        <v>673</v>
      </c>
      <c r="M704">
        <v>6</v>
      </c>
    </row>
    <row r="705" spans="1:16">
      <c r="A705" s="3">
        <v>662</v>
      </c>
      <c r="B705">
        <v>3</v>
      </c>
      <c r="H705" s="3">
        <v>660</v>
      </c>
      <c r="I705">
        <v>7</v>
      </c>
      <c r="L705" s="3">
        <v>674</v>
      </c>
      <c r="M705">
        <v>1</v>
      </c>
    </row>
    <row r="706" spans="1:16">
      <c r="A706" s="3">
        <v>663</v>
      </c>
      <c r="B706">
        <v>2</v>
      </c>
      <c r="H706" s="3">
        <v>661</v>
      </c>
      <c r="I706">
        <v>7</v>
      </c>
      <c r="L706" s="3">
        <v>675</v>
      </c>
      <c r="M706">
        <v>2</v>
      </c>
    </row>
    <row r="707" spans="1:16">
      <c r="A707" s="3">
        <v>664</v>
      </c>
      <c r="B707">
        <v>5</v>
      </c>
      <c r="H707" s="3">
        <v>662</v>
      </c>
      <c r="I707">
        <v>6</v>
      </c>
      <c r="L707" s="3">
        <v>676</v>
      </c>
      <c r="M707">
        <v>20</v>
      </c>
    </row>
    <row r="708" spans="1:16">
      <c r="A708" s="3">
        <v>665</v>
      </c>
      <c r="B708">
        <v>1</v>
      </c>
      <c r="H708" s="3">
        <v>663</v>
      </c>
      <c r="I708">
        <v>7</v>
      </c>
      <c r="L708" s="3">
        <v>677</v>
      </c>
      <c r="M708">
        <v>5</v>
      </c>
    </row>
    <row r="709" spans="1:16">
      <c r="A709" s="3">
        <v>666</v>
      </c>
      <c r="B709">
        <v>3</v>
      </c>
      <c r="H709" s="3">
        <v>664</v>
      </c>
      <c r="I709">
        <v>8</v>
      </c>
      <c r="L709" s="3">
        <v>678</v>
      </c>
      <c r="M709">
        <v>2</v>
      </c>
    </row>
    <row r="710" spans="1:16">
      <c r="A710" s="3">
        <v>667</v>
      </c>
      <c r="B710">
        <v>5</v>
      </c>
      <c r="H710" s="3">
        <v>665</v>
      </c>
      <c r="I710">
        <v>5</v>
      </c>
      <c r="L710" s="3">
        <v>679</v>
      </c>
      <c r="M710">
        <v>14</v>
      </c>
    </row>
    <row r="711" spans="1:16">
      <c r="A711" s="3">
        <v>668</v>
      </c>
      <c r="B711">
        <v>2</v>
      </c>
      <c r="H711" s="3">
        <v>666</v>
      </c>
      <c r="I711">
        <v>6</v>
      </c>
      <c r="L711" s="3">
        <v>680</v>
      </c>
      <c r="M711">
        <v>4</v>
      </c>
    </row>
    <row r="712" spans="1:16">
      <c r="A712" s="3">
        <v>669</v>
      </c>
      <c r="B712">
        <v>3</v>
      </c>
      <c r="H712" s="3">
        <v>667</v>
      </c>
      <c r="I712">
        <v>7</v>
      </c>
      <c r="L712" s="3">
        <v>681</v>
      </c>
      <c r="M712">
        <v>4</v>
      </c>
      <c r="P712" s="21"/>
    </row>
    <row r="713" spans="1:16">
      <c r="A713" s="3">
        <v>670</v>
      </c>
      <c r="B713">
        <v>1</v>
      </c>
      <c r="H713" s="3">
        <v>668</v>
      </c>
      <c r="I713">
        <v>6</v>
      </c>
      <c r="L713" s="3">
        <v>682</v>
      </c>
      <c r="M713">
        <v>7</v>
      </c>
    </row>
    <row r="714" spans="1:16">
      <c r="A714" s="3">
        <v>671</v>
      </c>
      <c r="B714">
        <v>5</v>
      </c>
      <c r="H714" s="3">
        <v>669</v>
      </c>
      <c r="I714">
        <v>7</v>
      </c>
      <c r="L714" s="3">
        <v>683</v>
      </c>
      <c r="M714">
        <v>2</v>
      </c>
    </row>
    <row r="715" spans="1:16">
      <c r="A715" s="3">
        <v>672</v>
      </c>
      <c r="B715">
        <v>5</v>
      </c>
      <c r="H715" s="3">
        <v>670</v>
      </c>
      <c r="I715">
        <v>6</v>
      </c>
      <c r="L715" s="3">
        <v>684</v>
      </c>
      <c r="M715">
        <v>2</v>
      </c>
    </row>
    <row r="716" spans="1:16">
      <c r="A716" s="3">
        <v>673</v>
      </c>
      <c r="B716">
        <v>3</v>
      </c>
      <c r="H716" s="3">
        <v>671</v>
      </c>
      <c r="I716">
        <v>8</v>
      </c>
      <c r="L716" s="3">
        <v>685</v>
      </c>
      <c r="M716">
        <v>1</v>
      </c>
    </row>
    <row r="717" spans="1:16">
      <c r="A717" s="3">
        <v>674</v>
      </c>
      <c r="B717">
        <v>3</v>
      </c>
      <c r="H717" s="3">
        <v>672</v>
      </c>
      <c r="I717">
        <v>7</v>
      </c>
      <c r="L717" s="3">
        <v>686</v>
      </c>
      <c r="M717">
        <v>4</v>
      </c>
    </row>
    <row r="718" spans="1:16">
      <c r="A718" s="3">
        <v>675</v>
      </c>
      <c r="B718">
        <v>4.5</v>
      </c>
      <c r="H718" s="3">
        <v>673</v>
      </c>
      <c r="I718">
        <v>8</v>
      </c>
      <c r="L718" s="3">
        <v>687</v>
      </c>
      <c r="M718">
        <v>0</v>
      </c>
    </row>
    <row r="719" spans="1:16">
      <c r="A719" s="3">
        <v>676</v>
      </c>
      <c r="B719">
        <v>3</v>
      </c>
      <c r="H719" s="3">
        <v>674</v>
      </c>
      <c r="I719">
        <v>8</v>
      </c>
      <c r="L719" s="3">
        <v>688</v>
      </c>
      <c r="M719">
        <v>10</v>
      </c>
    </row>
    <row r="720" spans="1:16">
      <c r="A720" s="3">
        <v>677</v>
      </c>
      <c r="B720">
        <v>2</v>
      </c>
      <c r="H720" s="3">
        <v>675</v>
      </c>
      <c r="I720">
        <v>6</v>
      </c>
      <c r="L720" s="3">
        <v>689</v>
      </c>
      <c r="M720">
        <v>0</v>
      </c>
    </row>
    <row r="721" spans="1:14">
      <c r="A721" s="3">
        <v>678</v>
      </c>
      <c r="B721">
        <v>3</v>
      </c>
      <c r="H721" s="3">
        <v>676</v>
      </c>
      <c r="I721">
        <v>8</v>
      </c>
      <c r="L721" s="3" t="s">
        <v>902</v>
      </c>
      <c r="M721">
        <v>9441</v>
      </c>
      <c r="N721" s="22">
        <f>GETPIVOTDATA("[Measures].[Sum of Overtime Hours]",$L$31)</f>
        <v>9441</v>
      </c>
    </row>
    <row r="722" spans="1:14">
      <c r="A722" s="3">
        <v>679</v>
      </c>
      <c r="B722">
        <v>2</v>
      </c>
      <c r="H722" s="3">
        <v>677</v>
      </c>
      <c r="I722">
        <v>8</v>
      </c>
    </row>
    <row r="723" spans="1:14">
      <c r="A723" s="3">
        <v>680</v>
      </c>
      <c r="B723">
        <v>1</v>
      </c>
      <c r="H723" s="3">
        <v>678</v>
      </c>
      <c r="I723">
        <v>7</v>
      </c>
    </row>
    <row r="724" spans="1:14">
      <c r="A724" s="3">
        <v>681</v>
      </c>
      <c r="B724">
        <v>3</v>
      </c>
      <c r="H724" s="3">
        <v>679</v>
      </c>
      <c r="I724">
        <v>7</v>
      </c>
    </row>
    <row r="725" spans="1:14">
      <c r="A725" s="3">
        <v>682</v>
      </c>
      <c r="B725">
        <v>1</v>
      </c>
      <c r="H725" s="3">
        <v>680</v>
      </c>
      <c r="I725">
        <v>6</v>
      </c>
    </row>
    <row r="726" spans="1:14">
      <c r="A726" s="3">
        <v>683</v>
      </c>
      <c r="B726">
        <v>3</v>
      </c>
      <c r="F726" s="15">
        <f>GETPIVOTDATA("[Measures].[Average of Years]",$H$45)</f>
        <v>7.0406386066763424</v>
      </c>
      <c r="H726" s="3">
        <v>681</v>
      </c>
      <c r="I726">
        <v>6</v>
      </c>
    </row>
    <row r="727" spans="1:14">
      <c r="A727" s="3">
        <v>684</v>
      </c>
      <c r="B727">
        <v>4.5</v>
      </c>
      <c r="H727" s="3">
        <v>682</v>
      </c>
      <c r="I727">
        <v>7</v>
      </c>
    </row>
    <row r="728" spans="1:14">
      <c r="A728" s="3">
        <v>685</v>
      </c>
      <c r="B728">
        <v>2</v>
      </c>
      <c r="H728" s="3">
        <v>683</v>
      </c>
      <c r="I728">
        <v>10</v>
      </c>
    </row>
    <row r="729" spans="1:14">
      <c r="A729" s="3">
        <v>686</v>
      </c>
      <c r="B729">
        <v>3</v>
      </c>
      <c r="H729" s="3">
        <v>684</v>
      </c>
      <c r="I729">
        <v>9</v>
      </c>
    </row>
    <row r="730" spans="1:14">
      <c r="A730" s="3">
        <v>687</v>
      </c>
      <c r="B730">
        <v>5</v>
      </c>
      <c r="H730" s="3">
        <v>685</v>
      </c>
      <c r="I730">
        <v>6</v>
      </c>
    </row>
    <row r="731" spans="1:14">
      <c r="A731" s="3">
        <v>688</v>
      </c>
      <c r="B731">
        <v>3</v>
      </c>
      <c r="H731" s="3">
        <v>686</v>
      </c>
      <c r="I731">
        <v>6</v>
      </c>
    </row>
    <row r="732" spans="1:14">
      <c r="A732" s="3">
        <v>689</v>
      </c>
      <c r="B732">
        <v>5</v>
      </c>
      <c r="H732" s="3">
        <v>687</v>
      </c>
      <c r="I732">
        <v>9</v>
      </c>
    </row>
    <row r="733" spans="1:14">
      <c r="A733" s="3" t="s">
        <v>902</v>
      </c>
      <c r="B733">
        <v>3.5863570391872277</v>
      </c>
      <c r="D733" s="27">
        <f>GETPIVOTDATA("[Measures].[Average of Job Rate]",$A$43)</f>
        <v>3.5863570391872277</v>
      </c>
      <c r="H733" s="3">
        <v>688</v>
      </c>
      <c r="I733">
        <v>8</v>
      </c>
    </row>
    <row r="734" spans="1:14">
      <c r="H734" s="3">
        <v>689</v>
      </c>
      <c r="I734">
        <v>6</v>
      </c>
    </row>
    <row r="735" spans="1:14">
      <c r="H735" s="3" t="s">
        <v>902</v>
      </c>
      <c r="I735">
        <v>7.0406386066763424</v>
      </c>
      <c r="K735" s="23">
        <f>GETPIVOTDATA("[Measures].[Average of Years]",$H$45)</f>
        <v>7.0406386066763424</v>
      </c>
    </row>
    <row r="739" spans="1:5">
      <c r="A739" t="s">
        <v>903</v>
      </c>
    </row>
    <row r="740" spans="1:5">
      <c r="A740">
        <v>237705</v>
      </c>
      <c r="B740">
        <f>GETPIVOTDATA("[Measures].[Sum of ID]",$A$739)</f>
        <v>237705</v>
      </c>
    </row>
    <row r="745" spans="1:5">
      <c r="A745" s="2" t="s">
        <v>900</v>
      </c>
    </row>
    <row r="746" spans="1:5">
      <c r="A746" s="3" t="s">
        <v>899</v>
      </c>
    </row>
    <row r="747" spans="1:5">
      <c r="A747" s="3" t="s">
        <v>135</v>
      </c>
      <c r="C747" s="2" t="s">
        <v>900</v>
      </c>
      <c r="D747" t="s">
        <v>903</v>
      </c>
    </row>
    <row r="748" spans="1:5">
      <c r="A748" s="3" t="s">
        <v>507</v>
      </c>
      <c r="C748" s="3" t="s">
        <v>919</v>
      </c>
      <c r="D748">
        <v>689</v>
      </c>
      <c r="E748" t="str">
        <f>C748</f>
        <v>Abd Albasit AlAhmar</v>
      </c>
    </row>
    <row r="749" spans="1:5">
      <c r="A749" s="3" t="s">
        <v>110</v>
      </c>
      <c r="C749" s="3" t="s">
        <v>920</v>
      </c>
      <c r="D749">
        <v>56</v>
      </c>
    </row>
    <row r="750" spans="1:5">
      <c r="A750" s="3" t="s">
        <v>182</v>
      </c>
      <c r="C750" s="3" t="s">
        <v>921</v>
      </c>
      <c r="D750">
        <v>563</v>
      </c>
    </row>
    <row r="751" spans="1:5">
      <c r="A751" s="3" t="s">
        <v>861</v>
      </c>
      <c r="C751" s="3" t="s">
        <v>922</v>
      </c>
      <c r="D751">
        <v>322</v>
      </c>
    </row>
    <row r="752" spans="1:5">
      <c r="A752" s="3" t="s">
        <v>494</v>
      </c>
      <c r="C752" s="3" t="s">
        <v>923</v>
      </c>
      <c r="D752">
        <v>42</v>
      </c>
    </row>
    <row r="753" spans="1:4">
      <c r="A753" s="3" t="s">
        <v>265</v>
      </c>
      <c r="C753" s="3" t="s">
        <v>924</v>
      </c>
      <c r="D753">
        <v>85</v>
      </c>
    </row>
    <row r="754" spans="1:4">
      <c r="A754" s="3" t="s">
        <v>576</v>
      </c>
      <c r="C754" s="3" t="s">
        <v>925</v>
      </c>
      <c r="D754">
        <v>658</v>
      </c>
    </row>
    <row r="755" spans="1:4">
      <c r="A755" s="3" t="s">
        <v>126</v>
      </c>
      <c r="C755" s="3" t="s">
        <v>926</v>
      </c>
      <c r="D755">
        <v>313</v>
      </c>
    </row>
    <row r="756" spans="1:4">
      <c r="A756" s="3" t="s">
        <v>745</v>
      </c>
      <c r="C756" s="3" t="s">
        <v>927</v>
      </c>
      <c r="D756">
        <v>425</v>
      </c>
    </row>
    <row r="757" spans="1:4">
      <c r="A757" s="3" t="s">
        <v>698</v>
      </c>
      <c r="C757" s="3" t="s">
        <v>928</v>
      </c>
      <c r="D757">
        <v>146</v>
      </c>
    </row>
    <row r="758" spans="1:4">
      <c r="A758" s="3" t="s">
        <v>555</v>
      </c>
      <c r="C758" s="3" t="s">
        <v>929</v>
      </c>
      <c r="D758">
        <v>227</v>
      </c>
    </row>
    <row r="759" spans="1:4">
      <c r="A759" s="3" t="s">
        <v>587</v>
      </c>
      <c r="C759" s="3" t="s">
        <v>930</v>
      </c>
      <c r="D759">
        <v>248</v>
      </c>
    </row>
    <row r="760" spans="1:4">
      <c r="A760" s="3" t="s">
        <v>778</v>
      </c>
      <c r="C760" s="3" t="s">
        <v>931</v>
      </c>
      <c r="D760">
        <v>443</v>
      </c>
    </row>
    <row r="761" spans="1:4">
      <c r="A761" s="3" t="s">
        <v>858</v>
      </c>
      <c r="C761" s="3" t="s">
        <v>932</v>
      </c>
      <c r="D761">
        <v>294</v>
      </c>
    </row>
    <row r="762" spans="1:4">
      <c r="A762" s="3" t="s">
        <v>734</v>
      </c>
      <c r="C762" s="3" t="s">
        <v>933</v>
      </c>
      <c r="D762">
        <v>380</v>
      </c>
    </row>
    <row r="763" spans="1:4">
      <c r="A763" s="3" t="s">
        <v>295</v>
      </c>
      <c r="C763" s="3" t="s">
        <v>934</v>
      </c>
      <c r="D763">
        <v>636</v>
      </c>
    </row>
    <row r="764" spans="1:4">
      <c r="A764" s="3" t="s">
        <v>360</v>
      </c>
      <c r="C764" s="3" t="s">
        <v>935</v>
      </c>
      <c r="D764">
        <v>51</v>
      </c>
    </row>
    <row r="765" spans="1:4">
      <c r="A765" s="3" t="s">
        <v>636</v>
      </c>
      <c r="C765" s="3" t="s">
        <v>936</v>
      </c>
      <c r="D765">
        <v>538</v>
      </c>
    </row>
    <row r="766" spans="1:4">
      <c r="A766" s="3" t="s">
        <v>686</v>
      </c>
      <c r="C766" s="3" t="s">
        <v>937</v>
      </c>
      <c r="D766">
        <v>493</v>
      </c>
    </row>
    <row r="767" spans="1:4">
      <c r="A767" s="3" t="s">
        <v>461</v>
      </c>
      <c r="C767" s="3" t="s">
        <v>938</v>
      </c>
      <c r="D767">
        <v>360</v>
      </c>
    </row>
    <row r="768" spans="1:4">
      <c r="A768" s="3" t="s">
        <v>516</v>
      </c>
      <c r="C768" s="3" t="s">
        <v>939</v>
      </c>
      <c r="D768">
        <v>392</v>
      </c>
    </row>
    <row r="769" spans="1:4">
      <c r="A769" s="3" t="s">
        <v>67</v>
      </c>
      <c r="C769" s="3" t="s">
        <v>940</v>
      </c>
      <c r="D769">
        <v>569</v>
      </c>
    </row>
    <row r="770" spans="1:4">
      <c r="A770" s="3" t="s">
        <v>34</v>
      </c>
      <c r="C770" s="3" t="s">
        <v>941</v>
      </c>
      <c r="D770">
        <v>656</v>
      </c>
    </row>
    <row r="771" spans="1:4">
      <c r="A771" s="3" t="s">
        <v>25</v>
      </c>
      <c r="C771" s="3" t="s">
        <v>942</v>
      </c>
      <c r="D771">
        <v>527</v>
      </c>
    </row>
    <row r="772" spans="1:4">
      <c r="A772" s="3" t="s">
        <v>316</v>
      </c>
      <c r="C772" s="3" t="s">
        <v>943</v>
      </c>
      <c r="D772">
        <v>165</v>
      </c>
    </row>
    <row r="773" spans="1:4">
      <c r="A773" s="3" t="s">
        <v>710</v>
      </c>
      <c r="C773" s="3" t="s">
        <v>944</v>
      </c>
      <c r="D773">
        <v>210</v>
      </c>
    </row>
    <row r="774" spans="1:4">
      <c r="A774" s="3" t="s">
        <v>478</v>
      </c>
      <c r="C774" s="3" t="s">
        <v>945</v>
      </c>
      <c r="D774">
        <v>436</v>
      </c>
    </row>
    <row r="775" spans="1:4">
      <c r="A775" s="3" t="s">
        <v>61</v>
      </c>
      <c r="C775" s="3" t="s">
        <v>946</v>
      </c>
      <c r="D775">
        <v>482</v>
      </c>
    </row>
    <row r="776" spans="1:4">
      <c r="A776" s="3" t="s">
        <v>188</v>
      </c>
      <c r="C776" s="3" t="s">
        <v>947</v>
      </c>
      <c r="D776">
        <v>601</v>
      </c>
    </row>
    <row r="777" spans="1:4">
      <c r="A777" s="3" t="s">
        <v>701</v>
      </c>
      <c r="C777" s="3" t="s">
        <v>948</v>
      </c>
      <c r="D777">
        <v>557</v>
      </c>
    </row>
    <row r="778" spans="1:4">
      <c r="A778" s="3" t="s">
        <v>544</v>
      </c>
      <c r="C778" s="3" t="s">
        <v>949</v>
      </c>
      <c r="D778">
        <v>285</v>
      </c>
    </row>
    <row r="779" spans="1:4">
      <c r="A779" s="3" t="s">
        <v>774</v>
      </c>
      <c r="C779" s="3" t="s">
        <v>950</v>
      </c>
      <c r="D779">
        <v>475</v>
      </c>
    </row>
    <row r="780" spans="1:4">
      <c r="A780" s="3" t="s">
        <v>270</v>
      </c>
      <c r="C780" s="3" t="s">
        <v>951</v>
      </c>
      <c r="D780">
        <v>332</v>
      </c>
    </row>
    <row r="781" spans="1:4">
      <c r="A781" s="3" t="s">
        <v>888</v>
      </c>
      <c r="C781" s="3" t="s">
        <v>952</v>
      </c>
      <c r="D781">
        <v>19</v>
      </c>
    </row>
    <row r="782" spans="1:4">
      <c r="A782" s="3" t="s">
        <v>193</v>
      </c>
      <c r="C782" s="3" t="s">
        <v>953</v>
      </c>
      <c r="D782">
        <v>103</v>
      </c>
    </row>
    <row r="783" spans="1:4">
      <c r="A783" s="3" t="s">
        <v>752</v>
      </c>
      <c r="C783" s="3" t="s">
        <v>954</v>
      </c>
      <c r="D783">
        <v>212</v>
      </c>
    </row>
    <row r="784" spans="1:4">
      <c r="A784" s="3" t="s">
        <v>755</v>
      </c>
      <c r="C784" s="3" t="s">
        <v>955</v>
      </c>
      <c r="D784">
        <v>24</v>
      </c>
    </row>
    <row r="785" spans="1:4">
      <c r="A785" s="3" t="s">
        <v>304</v>
      </c>
      <c r="C785" s="3" t="s">
        <v>956</v>
      </c>
      <c r="D785">
        <v>590</v>
      </c>
    </row>
    <row r="786" spans="1:4">
      <c r="A786" s="3" t="s">
        <v>178</v>
      </c>
      <c r="C786" s="3" t="s">
        <v>957</v>
      </c>
      <c r="D786">
        <v>668</v>
      </c>
    </row>
    <row r="787" spans="1:4">
      <c r="A787" s="3" t="s">
        <v>274</v>
      </c>
      <c r="C787" s="3" t="s">
        <v>958</v>
      </c>
      <c r="D787">
        <v>374</v>
      </c>
    </row>
    <row r="788" spans="1:4">
      <c r="A788" s="3" t="s">
        <v>502</v>
      </c>
      <c r="C788" s="3" t="s">
        <v>959</v>
      </c>
      <c r="D788">
        <v>64</v>
      </c>
    </row>
    <row r="789" spans="1:4">
      <c r="A789" s="3" t="s">
        <v>590</v>
      </c>
      <c r="C789" s="3" t="s">
        <v>960</v>
      </c>
      <c r="D789">
        <v>379</v>
      </c>
    </row>
    <row r="790" spans="1:4">
      <c r="A790" s="3" t="s">
        <v>391</v>
      </c>
      <c r="C790" s="3" t="s">
        <v>961</v>
      </c>
      <c r="D790">
        <v>373</v>
      </c>
    </row>
    <row r="791" spans="1:4">
      <c r="A791" s="3" t="s">
        <v>236</v>
      </c>
      <c r="C791" s="3" t="s">
        <v>962</v>
      </c>
      <c r="D791">
        <v>470</v>
      </c>
    </row>
    <row r="792" spans="1:4">
      <c r="A792" s="3" t="s">
        <v>333</v>
      </c>
      <c r="C792" s="3" t="s">
        <v>963</v>
      </c>
      <c r="D792">
        <v>393</v>
      </c>
    </row>
    <row r="793" spans="1:4">
      <c r="A793" s="3" t="s">
        <v>532</v>
      </c>
      <c r="C793" s="3" t="s">
        <v>964</v>
      </c>
      <c r="D793">
        <v>258</v>
      </c>
    </row>
    <row r="794" spans="1:4">
      <c r="A794" s="3" t="s">
        <v>891</v>
      </c>
      <c r="C794" s="3" t="s">
        <v>965</v>
      </c>
      <c r="D794">
        <v>497</v>
      </c>
    </row>
    <row r="795" spans="1:4">
      <c r="A795" s="3" t="s">
        <v>423</v>
      </c>
      <c r="C795" s="3" t="s">
        <v>966</v>
      </c>
      <c r="D795">
        <v>5</v>
      </c>
    </row>
    <row r="796" spans="1:4">
      <c r="A796" s="3" t="s">
        <v>510</v>
      </c>
      <c r="C796" s="3" t="s">
        <v>967</v>
      </c>
      <c r="D796">
        <v>444</v>
      </c>
    </row>
    <row r="797" spans="1:4">
      <c r="A797" s="3" t="s">
        <v>603</v>
      </c>
      <c r="C797" s="3" t="s">
        <v>968</v>
      </c>
      <c r="D797">
        <v>540</v>
      </c>
    </row>
    <row r="798" spans="1:4">
      <c r="A798" s="3" t="s">
        <v>649</v>
      </c>
      <c r="C798" s="3" t="s">
        <v>969</v>
      </c>
      <c r="D798">
        <v>458</v>
      </c>
    </row>
    <row r="799" spans="1:4">
      <c r="A799" s="3" t="s">
        <v>784</v>
      </c>
      <c r="C799" s="3" t="s">
        <v>970</v>
      </c>
      <c r="D799">
        <v>577</v>
      </c>
    </row>
    <row r="800" spans="1:4">
      <c r="A800" s="3" t="s">
        <v>795</v>
      </c>
      <c r="C800" s="3" t="s">
        <v>971</v>
      </c>
      <c r="D800">
        <v>488</v>
      </c>
    </row>
    <row r="801" spans="1:4">
      <c r="A801" s="3" t="s">
        <v>69</v>
      </c>
      <c r="C801" s="3" t="s">
        <v>972</v>
      </c>
      <c r="D801">
        <v>321</v>
      </c>
    </row>
    <row r="802" spans="1:4">
      <c r="A802" s="3" t="s">
        <v>215</v>
      </c>
      <c r="C802" s="3" t="s">
        <v>973</v>
      </c>
      <c r="D802">
        <v>535</v>
      </c>
    </row>
    <row r="803" spans="1:4">
      <c r="A803" s="3" t="s">
        <v>139</v>
      </c>
      <c r="C803" s="3" t="s">
        <v>974</v>
      </c>
      <c r="D803">
        <v>239</v>
      </c>
    </row>
    <row r="804" spans="1:4">
      <c r="A804" s="3" t="s">
        <v>127</v>
      </c>
      <c r="C804" s="3" t="s">
        <v>975</v>
      </c>
      <c r="D804">
        <v>798</v>
      </c>
    </row>
    <row r="805" spans="1:4">
      <c r="A805" s="3" t="s">
        <v>766</v>
      </c>
      <c r="C805" s="3" t="s">
        <v>976</v>
      </c>
      <c r="D805">
        <v>603</v>
      </c>
    </row>
    <row r="806" spans="1:4">
      <c r="A806" s="3" t="s">
        <v>705</v>
      </c>
      <c r="C806" s="3" t="s">
        <v>977</v>
      </c>
      <c r="D806">
        <v>364</v>
      </c>
    </row>
    <row r="807" spans="1:4">
      <c r="A807" s="3" t="s">
        <v>643</v>
      </c>
      <c r="C807" s="3" t="s">
        <v>978</v>
      </c>
      <c r="D807">
        <v>504</v>
      </c>
    </row>
    <row r="808" spans="1:4">
      <c r="A808" s="3" t="s">
        <v>676</v>
      </c>
      <c r="C808" s="3" t="s">
        <v>979</v>
      </c>
      <c r="D808">
        <v>521</v>
      </c>
    </row>
    <row r="809" spans="1:4">
      <c r="A809" s="3" t="s">
        <v>352</v>
      </c>
      <c r="C809" s="3" t="s">
        <v>980</v>
      </c>
      <c r="D809">
        <v>649</v>
      </c>
    </row>
    <row r="810" spans="1:4">
      <c r="A810" s="3" t="s">
        <v>638</v>
      </c>
      <c r="C810" s="3" t="s">
        <v>981</v>
      </c>
      <c r="D810">
        <v>145</v>
      </c>
    </row>
    <row r="811" spans="1:4">
      <c r="A811" s="3" t="s">
        <v>225</v>
      </c>
      <c r="C811" s="3" t="s">
        <v>982</v>
      </c>
      <c r="D811">
        <v>489</v>
      </c>
    </row>
    <row r="812" spans="1:4">
      <c r="A812" s="3" t="s">
        <v>389</v>
      </c>
      <c r="C812" s="3" t="s">
        <v>983</v>
      </c>
      <c r="D812">
        <v>451</v>
      </c>
    </row>
    <row r="813" spans="1:4">
      <c r="A813" s="3" t="s">
        <v>282</v>
      </c>
      <c r="C813" s="3" t="s">
        <v>984</v>
      </c>
      <c r="D813">
        <v>197</v>
      </c>
    </row>
    <row r="814" spans="1:4">
      <c r="A814" s="3" t="s">
        <v>277</v>
      </c>
      <c r="C814" s="3" t="s">
        <v>985</v>
      </c>
      <c r="D814">
        <v>427</v>
      </c>
    </row>
    <row r="815" spans="1:4">
      <c r="A815" s="3" t="s">
        <v>481</v>
      </c>
      <c r="C815" s="3" t="s">
        <v>986</v>
      </c>
      <c r="D815">
        <v>35</v>
      </c>
    </row>
    <row r="816" spans="1:4">
      <c r="A816" s="3" t="s">
        <v>58</v>
      </c>
      <c r="C816" s="3" t="s">
        <v>987</v>
      </c>
      <c r="D816">
        <v>69</v>
      </c>
    </row>
    <row r="817" spans="1:4">
      <c r="A817" s="3" t="s">
        <v>267</v>
      </c>
      <c r="C817" s="3" t="s">
        <v>988</v>
      </c>
      <c r="D817">
        <v>386</v>
      </c>
    </row>
    <row r="818" spans="1:4">
      <c r="A818" s="3" t="s">
        <v>395</v>
      </c>
      <c r="C818" s="3" t="s">
        <v>989</v>
      </c>
      <c r="D818">
        <v>3</v>
      </c>
    </row>
    <row r="819" spans="1:4">
      <c r="A819" s="3" t="s">
        <v>73</v>
      </c>
      <c r="C819" s="3" t="s">
        <v>990</v>
      </c>
      <c r="D819">
        <v>179</v>
      </c>
    </row>
    <row r="820" spans="1:4">
      <c r="A820" s="3" t="s">
        <v>356</v>
      </c>
      <c r="C820" s="3" t="s">
        <v>991</v>
      </c>
      <c r="D820">
        <v>502</v>
      </c>
    </row>
    <row r="821" spans="1:4">
      <c r="A821" s="3" t="s">
        <v>331</v>
      </c>
      <c r="C821" s="3" t="s">
        <v>992</v>
      </c>
      <c r="D821">
        <v>302</v>
      </c>
    </row>
    <row r="822" spans="1:4">
      <c r="A822" s="3" t="s">
        <v>323</v>
      </c>
      <c r="C822" s="3" t="s">
        <v>993</v>
      </c>
      <c r="D822">
        <v>170</v>
      </c>
    </row>
    <row r="823" spans="1:4">
      <c r="A823" s="3" t="s">
        <v>540</v>
      </c>
      <c r="C823" s="3" t="s">
        <v>994</v>
      </c>
      <c r="D823">
        <v>140</v>
      </c>
    </row>
    <row r="824" spans="1:4">
      <c r="A824" s="3" t="s">
        <v>420</v>
      </c>
      <c r="C824" s="3" t="s">
        <v>995</v>
      </c>
      <c r="D824">
        <v>293</v>
      </c>
    </row>
    <row r="825" spans="1:4">
      <c r="A825" s="3" t="s">
        <v>217</v>
      </c>
      <c r="C825" s="3" t="s">
        <v>996</v>
      </c>
      <c r="D825">
        <v>632</v>
      </c>
    </row>
    <row r="826" spans="1:4">
      <c r="A826" s="3" t="s">
        <v>454</v>
      </c>
      <c r="C826" s="3" t="s">
        <v>997</v>
      </c>
      <c r="D826">
        <v>382</v>
      </c>
    </row>
    <row r="827" spans="1:4">
      <c r="A827" s="3" t="s">
        <v>318</v>
      </c>
      <c r="C827" s="3" t="s">
        <v>998</v>
      </c>
      <c r="D827">
        <v>575</v>
      </c>
    </row>
    <row r="828" spans="1:4">
      <c r="A828" s="3" t="s">
        <v>170</v>
      </c>
      <c r="C828" s="3" t="s">
        <v>999</v>
      </c>
      <c r="D828">
        <v>131</v>
      </c>
    </row>
    <row r="829" spans="1:4">
      <c r="A829" s="3" t="s">
        <v>190</v>
      </c>
      <c r="C829" s="3" t="s">
        <v>1000</v>
      </c>
      <c r="D829">
        <v>413</v>
      </c>
    </row>
    <row r="830" spans="1:4">
      <c r="A830" s="3" t="s">
        <v>107</v>
      </c>
      <c r="C830" s="3" t="s">
        <v>1001</v>
      </c>
      <c r="D830">
        <v>368</v>
      </c>
    </row>
    <row r="831" spans="1:4">
      <c r="A831" s="3" t="s">
        <v>427</v>
      </c>
      <c r="C831" s="3" t="s">
        <v>1002</v>
      </c>
      <c r="D831">
        <v>16</v>
      </c>
    </row>
    <row r="832" spans="1:4">
      <c r="A832" s="3" t="s">
        <v>328</v>
      </c>
      <c r="C832" s="3" t="s">
        <v>1003</v>
      </c>
      <c r="D832">
        <v>314</v>
      </c>
    </row>
    <row r="833" spans="1:4">
      <c r="A833" s="3" t="s">
        <v>530</v>
      </c>
      <c r="C833" s="3" t="s">
        <v>1004</v>
      </c>
      <c r="D833">
        <v>509</v>
      </c>
    </row>
    <row r="834" spans="1:4">
      <c r="A834" s="3" t="s">
        <v>849</v>
      </c>
      <c r="C834" s="3" t="s">
        <v>1005</v>
      </c>
      <c r="D834">
        <v>376</v>
      </c>
    </row>
    <row r="835" spans="1:4">
      <c r="A835" s="3" t="s">
        <v>500</v>
      </c>
      <c r="C835" s="3" t="s">
        <v>1006</v>
      </c>
      <c r="D835">
        <v>112</v>
      </c>
    </row>
    <row r="836" spans="1:4">
      <c r="A836" s="3" t="s">
        <v>252</v>
      </c>
      <c r="C836" s="3" t="s">
        <v>1007</v>
      </c>
      <c r="D836">
        <v>610</v>
      </c>
    </row>
    <row r="837" spans="1:4">
      <c r="A837" s="3" t="s">
        <v>91</v>
      </c>
      <c r="C837" s="3" t="s">
        <v>1008</v>
      </c>
      <c r="D837">
        <v>423</v>
      </c>
    </row>
    <row r="838" spans="1:4">
      <c r="A838" s="3" t="s">
        <v>176</v>
      </c>
      <c r="C838" s="3" t="s">
        <v>1009</v>
      </c>
      <c r="D838">
        <v>592</v>
      </c>
    </row>
    <row r="839" spans="1:4">
      <c r="A839" s="3" t="s">
        <v>254</v>
      </c>
      <c r="C839" s="3" t="s">
        <v>1010</v>
      </c>
      <c r="D839">
        <v>612</v>
      </c>
    </row>
    <row r="840" spans="1:4">
      <c r="A840" s="3" t="s">
        <v>206</v>
      </c>
      <c r="C840" s="3" t="s">
        <v>1011</v>
      </c>
      <c r="D840">
        <v>599</v>
      </c>
    </row>
    <row r="841" spans="1:4">
      <c r="A841" s="3" t="s">
        <v>97</v>
      </c>
      <c r="C841" s="3" t="s">
        <v>1012</v>
      </c>
      <c r="D841">
        <v>415</v>
      </c>
    </row>
    <row r="842" spans="1:4">
      <c r="A842" s="3" t="s">
        <v>776</v>
      </c>
      <c r="C842" s="3" t="s">
        <v>1013</v>
      </c>
      <c r="D842">
        <v>713</v>
      </c>
    </row>
    <row r="843" spans="1:4">
      <c r="A843" s="3" t="s">
        <v>381</v>
      </c>
      <c r="C843" s="3" t="s">
        <v>1014</v>
      </c>
      <c r="D843">
        <v>200</v>
      </c>
    </row>
    <row r="844" spans="1:4">
      <c r="A844" s="3" t="s">
        <v>297</v>
      </c>
      <c r="C844" s="3" t="s">
        <v>1015</v>
      </c>
      <c r="D844">
        <v>89</v>
      </c>
    </row>
    <row r="845" spans="1:4">
      <c r="A845" s="3" t="s">
        <v>878</v>
      </c>
      <c r="C845" s="3" t="s">
        <v>1016</v>
      </c>
      <c r="D845">
        <v>350</v>
      </c>
    </row>
    <row r="846" spans="1:4">
      <c r="A846" s="3" t="s">
        <v>458</v>
      </c>
      <c r="C846" s="3" t="s">
        <v>1017</v>
      </c>
      <c r="D846">
        <v>532</v>
      </c>
    </row>
    <row r="847" spans="1:4">
      <c r="A847" s="3" t="s">
        <v>133</v>
      </c>
      <c r="C847" s="3" t="s">
        <v>1018</v>
      </c>
      <c r="D847">
        <v>495</v>
      </c>
    </row>
    <row r="848" spans="1:4">
      <c r="A848" s="3" t="s">
        <v>895</v>
      </c>
      <c r="C848" s="3" t="s">
        <v>1019</v>
      </c>
      <c r="D848">
        <v>351</v>
      </c>
    </row>
    <row r="849" spans="1:4">
      <c r="A849" s="3" t="s">
        <v>799</v>
      </c>
      <c r="C849" s="3" t="s">
        <v>1020</v>
      </c>
      <c r="D849">
        <v>566</v>
      </c>
    </row>
    <row r="850" spans="1:4">
      <c r="A850" s="3" t="s">
        <v>199</v>
      </c>
      <c r="C850" s="3" t="s">
        <v>1021</v>
      </c>
      <c r="D850">
        <v>149</v>
      </c>
    </row>
    <row r="851" spans="1:4">
      <c r="A851" s="3" t="s">
        <v>624</v>
      </c>
      <c r="C851" s="3" t="s">
        <v>1022</v>
      </c>
      <c r="D851">
        <v>680</v>
      </c>
    </row>
    <row r="852" spans="1:4">
      <c r="A852" s="3" t="s">
        <v>65</v>
      </c>
      <c r="C852" s="3" t="s">
        <v>1023</v>
      </c>
      <c r="D852">
        <v>390</v>
      </c>
    </row>
    <row r="853" spans="1:4">
      <c r="A853" s="3" t="s">
        <v>129</v>
      </c>
      <c r="C853" s="3" t="s">
        <v>1024</v>
      </c>
      <c r="D853">
        <v>92</v>
      </c>
    </row>
    <row r="854" spans="1:4">
      <c r="A854" s="3" t="s">
        <v>552</v>
      </c>
      <c r="C854" s="3" t="s">
        <v>1025</v>
      </c>
      <c r="D854">
        <v>547</v>
      </c>
    </row>
    <row r="855" spans="1:4">
      <c r="A855" s="3" t="s">
        <v>231</v>
      </c>
      <c r="C855" s="3" t="s">
        <v>1026</v>
      </c>
      <c r="D855">
        <v>549</v>
      </c>
    </row>
    <row r="856" spans="1:4">
      <c r="A856" s="3" t="s">
        <v>384</v>
      </c>
      <c r="C856" s="3" t="s">
        <v>1027</v>
      </c>
      <c r="D856">
        <v>381</v>
      </c>
    </row>
    <row r="857" spans="1:4">
      <c r="A857" s="3" t="s">
        <v>833</v>
      </c>
      <c r="C857" s="3" t="s">
        <v>1028</v>
      </c>
      <c r="D857">
        <v>273</v>
      </c>
    </row>
    <row r="858" spans="1:4">
      <c r="A858" s="3" t="s">
        <v>262</v>
      </c>
      <c r="C858" s="3" t="s">
        <v>1029</v>
      </c>
      <c r="D858">
        <v>355</v>
      </c>
    </row>
    <row r="859" spans="1:4">
      <c r="A859" s="3" t="s">
        <v>749</v>
      </c>
      <c r="C859" s="3" t="s">
        <v>1030</v>
      </c>
      <c r="D859">
        <v>494</v>
      </c>
    </row>
    <row r="860" spans="1:4">
      <c r="A860" s="3" t="s">
        <v>238</v>
      </c>
      <c r="C860" s="3" t="s">
        <v>1031</v>
      </c>
      <c r="D860">
        <v>439</v>
      </c>
    </row>
    <row r="861" spans="1:4">
      <c r="A861" s="3" t="s">
        <v>405</v>
      </c>
      <c r="C861" s="3" t="s">
        <v>1032</v>
      </c>
      <c r="D861">
        <v>555</v>
      </c>
    </row>
    <row r="862" spans="1:4">
      <c r="A862" s="3" t="s">
        <v>605</v>
      </c>
      <c r="C862" s="3" t="s">
        <v>1033</v>
      </c>
      <c r="D862">
        <v>82</v>
      </c>
    </row>
    <row r="863" spans="1:4">
      <c r="A863" s="3" t="s">
        <v>301</v>
      </c>
      <c r="C863" s="3" t="s">
        <v>1034</v>
      </c>
      <c r="D863">
        <v>279</v>
      </c>
    </row>
    <row r="864" spans="1:4">
      <c r="A864" s="3" t="s">
        <v>124</v>
      </c>
      <c r="C864" s="3" t="s">
        <v>1035</v>
      </c>
      <c r="D864">
        <v>151</v>
      </c>
    </row>
    <row r="865" spans="1:4">
      <c r="A865" s="3" t="s">
        <v>16</v>
      </c>
      <c r="C865" s="3" t="s">
        <v>1036</v>
      </c>
      <c r="D865">
        <v>678</v>
      </c>
    </row>
    <row r="866" spans="1:4">
      <c r="A866" s="3" t="s">
        <v>725</v>
      </c>
      <c r="C866" s="3" t="s">
        <v>1037</v>
      </c>
      <c r="D866">
        <v>319</v>
      </c>
    </row>
    <row r="867" spans="1:4">
      <c r="A867" s="3" t="s">
        <v>93</v>
      </c>
      <c r="C867" s="3" t="s">
        <v>1038</v>
      </c>
      <c r="D867">
        <v>395</v>
      </c>
    </row>
    <row r="868" spans="1:4">
      <c r="A868" s="3" t="s">
        <v>882</v>
      </c>
      <c r="C868" s="3" t="s">
        <v>1039</v>
      </c>
      <c r="D868">
        <v>232</v>
      </c>
    </row>
    <row r="869" spans="1:4">
      <c r="A869" s="3" t="s">
        <v>847</v>
      </c>
      <c r="C869" s="3" t="s">
        <v>1040</v>
      </c>
      <c r="D869">
        <v>410</v>
      </c>
    </row>
    <row r="870" spans="1:4">
      <c r="A870" s="3" t="s">
        <v>290</v>
      </c>
      <c r="C870" s="3" t="s">
        <v>1041</v>
      </c>
      <c r="D870">
        <v>125</v>
      </c>
    </row>
    <row r="871" spans="1:4">
      <c r="A871" s="3" t="s">
        <v>683</v>
      </c>
      <c r="C871" s="3" t="s">
        <v>1042</v>
      </c>
      <c r="D871">
        <v>192</v>
      </c>
    </row>
    <row r="872" spans="1:4">
      <c r="A872" s="3" t="s">
        <v>255</v>
      </c>
      <c r="C872" s="3" t="s">
        <v>1043</v>
      </c>
      <c r="D872">
        <v>342</v>
      </c>
    </row>
    <row r="873" spans="1:4">
      <c r="A873" s="3" t="s">
        <v>250</v>
      </c>
      <c r="C873" s="3" t="s">
        <v>1044</v>
      </c>
      <c r="D873">
        <v>684</v>
      </c>
    </row>
    <row r="874" spans="1:4">
      <c r="A874" s="3" t="s">
        <v>150</v>
      </c>
      <c r="C874" s="3" t="s">
        <v>1045</v>
      </c>
      <c r="D874">
        <v>257</v>
      </c>
    </row>
    <row r="875" spans="1:4">
      <c r="A875" s="3" t="s">
        <v>838</v>
      </c>
      <c r="C875" s="3" t="s">
        <v>1046</v>
      </c>
      <c r="D875">
        <v>325</v>
      </c>
    </row>
    <row r="876" spans="1:4">
      <c r="A876" s="3" t="s">
        <v>720</v>
      </c>
      <c r="C876" s="3" t="s">
        <v>1047</v>
      </c>
      <c r="D876">
        <v>406</v>
      </c>
    </row>
    <row r="877" spans="1:4">
      <c r="A877" s="3" t="s">
        <v>370</v>
      </c>
      <c r="C877" s="3" t="s">
        <v>1048</v>
      </c>
      <c r="D877">
        <v>496</v>
      </c>
    </row>
    <row r="878" spans="1:4">
      <c r="A878" s="3" t="s">
        <v>105</v>
      </c>
      <c r="C878" s="3" t="s">
        <v>1049</v>
      </c>
      <c r="D878">
        <v>446</v>
      </c>
    </row>
    <row r="879" spans="1:4">
      <c r="A879" s="3" t="s">
        <v>872</v>
      </c>
      <c r="C879" s="3" t="s">
        <v>1050</v>
      </c>
      <c r="D879">
        <v>501</v>
      </c>
    </row>
    <row r="880" spans="1:4">
      <c r="A880" s="3" t="s">
        <v>358</v>
      </c>
      <c r="C880" s="3" t="s">
        <v>1051</v>
      </c>
      <c r="D880">
        <v>576</v>
      </c>
    </row>
    <row r="881" spans="1:4">
      <c r="A881" s="3" t="s">
        <v>66</v>
      </c>
      <c r="C881" s="3" t="s">
        <v>1052</v>
      </c>
      <c r="D881">
        <v>586</v>
      </c>
    </row>
    <row r="882" spans="1:4">
      <c r="A882" s="3" t="s">
        <v>51</v>
      </c>
      <c r="C882" s="3" t="s">
        <v>1053</v>
      </c>
      <c r="D882">
        <v>247</v>
      </c>
    </row>
    <row r="883" spans="1:4">
      <c r="A883" s="3" t="s">
        <v>148</v>
      </c>
      <c r="C883" s="3" t="s">
        <v>1054</v>
      </c>
      <c r="D883">
        <v>433</v>
      </c>
    </row>
    <row r="884" spans="1:4">
      <c r="A884" s="3" t="s">
        <v>349</v>
      </c>
      <c r="C884" s="3" t="s">
        <v>1055</v>
      </c>
      <c r="D884">
        <v>41</v>
      </c>
    </row>
    <row r="885" spans="1:4">
      <c r="A885" s="3" t="s">
        <v>56</v>
      </c>
      <c r="C885" s="3" t="s">
        <v>1056</v>
      </c>
      <c r="D885">
        <v>681</v>
      </c>
    </row>
    <row r="886" spans="1:4">
      <c r="A886" s="3" t="s">
        <v>263</v>
      </c>
      <c r="C886" s="3" t="s">
        <v>1057</v>
      </c>
      <c r="D886">
        <v>430</v>
      </c>
    </row>
    <row r="887" spans="1:4">
      <c r="A887" s="3" t="s">
        <v>40</v>
      </c>
      <c r="C887" s="3" t="s">
        <v>1058</v>
      </c>
      <c r="D887">
        <v>520</v>
      </c>
    </row>
    <row r="888" spans="1:4">
      <c r="A888" s="3" t="s">
        <v>736</v>
      </c>
      <c r="C888" s="3" t="s">
        <v>1059</v>
      </c>
      <c r="D888">
        <v>20</v>
      </c>
    </row>
    <row r="889" spans="1:4">
      <c r="A889" s="3" t="s">
        <v>886</v>
      </c>
      <c r="C889" s="3" t="s">
        <v>1060</v>
      </c>
      <c r="D889">
        <v>671</v>
      </c>
    </row>
    <row r="890" spans="1:4">
      <c r="A890" s="3" t="s">
        <v>523</v>
      </c>
      <c r="C890" s="3" t="s">
        <v>1061</v>
      </c>
      <c r="D890">
        <v>58</v>
      </c>
    </row>
    <row r="891" spans="1:4">
      <c r="A891" s="3" t="s">
        <v>321</v>
      </c>
      <c r="C891" s="3" t="s">
        <v>1062</v>
      </c>
      <c r="D891">
        <v>52</v>
      </c>
    </row>
    <row r="892" spans="1:4">
      <c r="A892" s="3" t="s">
        <v>673</v>
      </c>
      <c r="C892" s="3" t="s">
        <v>1063</v>
      </c>
      <c r="D892">
        <v>102</v>
      </c>
    </row>
    <row r="893" spans="1:4">
      <c r="A893" s="3" t="s">
        <v>487</v>
      </c>
      <c r="C893" s="3" t="s">
        <v>1064</v>
      </c>
      <c r="D893">
        <v>561</v>
      </c>
    </row>
    <row r="894" spans="1:4">
      <c r="A894" s="3" t="s">
        <v>74</v>
      </c>
      <c r="C894" s="3" t="s">
        <v>1065</v>
      </c>
      <c r="D894">
        <v>442</v>
      </c>
    </row>
    <row r="895" spans="1:4">
      <c r="A895" s="3" t="s">
        <v>243</v>
      </c>
      <c r="C895" s="3" t="s">
        <v>1066</v>
      </c>
      <c r="D895">
        <v>498</v>
      </c>
    </row>
    <row r="896" spans="1:4">
      <c r="A896" s="3" t="s">
        <v>717</v>
      </c>
      <c r="C896" s="3" t="s">
        <v>1067</v>
      </c>
      <c r="D896">
        <v>468</v>
      </c>
    </row>
    <row r="897" spans="1:4">
      <c r="A897" s="3" t="s">
        <v>772</v>
      </c>
      <c r="C897" s="3" t="s">
        <v>1068</v>
      </c>
      <c r="D897">
        <v>205</v>
      </c>
    </row>
    <row r="898" spans="1:4">
      <c r="A898" s="3" t="s">
        <v>379</v>
      </c>
      <c r="C898" s="3" t="s">
        <v>1069</v>
      </c>
      <c r="D898">
        <v>437</v>
      </c>
    </row>
    <row r="899" spans="1:4">
      <c r="A899" s="3" t="s">
        <v>248</v>
      </c>
      <c r="C899" s="3" t="s">
        <v>1070</v>
      </c>
      <c r="D899">
        <v>422</v>
      </c>
    </row>
    <row r="900" spans="1:4">
      <c r="A900" s="3" t="s">
        <v>608</v>
      </c>
      <c r="C900" s="3" t="s">
        <v>1071</v>
      </c>
      <c r="D900">
        <v>492</v>
      </c>
    </row>
    <row r="901" spans="1:4">
      <c r="A901" s="3" t="s">
        <v>210</v>
      </c>
      <c r="C901" s="3" t="s">
        <v>1072</v>
      </c>
      <c r="D901">
        <v>214</v>
      </c>
    </row>
    <row r="902" spans="1:4">
      <c r="A902" s="3" t="s">
        <v>619</v>
      </c>
      <c r="C902" s="3" t="s">
        <v>1073</v>
      </c>
      <c r="D902">
        <v>366</v>
      </c>
    </row>
    <row r="903" spans="1:4">
      <c r="A903" s="3" t="s">
        <v>240</v>
      </c>
      <c r="C903" s="3" t="s">
        <v>1074</v>
      </c>
      <c r="D903">
        <v>478</v>
      </c>
    </row>
    <row r="904" spans="1:4">
      <c r="A904" s="3" t="s">
        <v>272</v>
      </c>
      <c r="C904" s="3" t="s">
        <v>1075</v>
      </c>
      <c r="D904">
        <v>400</v>
      </c>
    </row>
    <row r="905" spans="1:4">
      <c r="A905" s="3" t="s">
        <v>614</v>
      </c>
      <c r="C905" s="3" t="s">
        <v>1076</v>
      </c>
      <c r="D905">
        <v>231</v>
      </c>
    </row>
    <row r="906" spans="1:4">
      <c r="A906" s="3" t="s">
        <v>160</v>
      </c>
      <c r="C906" s="3" t="s">
        <v>1077</v>
      </c>
      <c r="D906">
        <v>512</v>
      </c>
    </row>
    <row r="907" spans="1:4">
      <c r="A907" s="3" t="s">
        <v>429</v>
      </c>
      <c r="C907" s="3" t="s">
        <v>1078</v>
      </c>
      <c r="D907">
        <v>157</v>
      </c>
    </row>
    <row r="908" spans="1:4">
      <c r="A908" s="3" t="s">
        <v>434</v>
      </c>
      <c r="C908" s="3" t="s">
        <v>1079</v>
      </c>
      <c r="D908">
        <v>153</v>
      </c>
    </row>
    <row r="909" spans="1:4">
      <c r="A909" s="3" t="s">
        <v>399</v>
      </c>
      <c r="C909" s="3" t="s">
        <v>1080</v>
      </c>
      <c r="D909">
        <v>304</v>
      </c>
    </row>
    <row r="910" spans="1:4">
      <c r="A910" s="3" t="s">
        <v>167</v>
      </c>
      <c r="C910" s="3" t="s">
        <v>1081</v>
      </c>
      <c r="D910">
        <v>634</v>
      </c>
    </row>
    <row r="911" spans="1:4">
      <c r="A911" s="3" t="s">
        <v>292</v>
      </c>
      <c r="C911" s="3" t="s">
        <v>1082</v>
      </c>
      <c r="D911">
        <v>657</v>
      </c>
    </row>
    <row r="912" spans="1:4">
      <c r="A912" s="3" t="s">
        <v>712</v>
      </c>
      <c r="C912" s="3" t="s">
        <v>1083</v>
      </c>
      <c r="D912">
        <v>15</v>
      </c>
    </row>
    <row r="913" spans="1:4">
      <c r="A913" s="3" t="s">
        <v>490</v>
      </c>
      <c r="C913" s="3" t="s">
        <v>1084</v>
      </c>
      <c r="D913">
        <v>147</v>
      </c>
    </row>
    <row r="914" spans="1:4">
      <c r="A914" s="3" t="s">
        <v>498</v>
      </c>
      <c r="C914" s="3" t="s">
        <v>1085</v>
      </c>
      <c r="D914">
        <v>234</v>
      </c>
    </row>
    <row r="915" spans="1:4">
      <c r="A915" s="3" t="s">
        <v>260</v>
      </c>
      <c r="C915" s="3" t="s">
        <v>1086</v>
      </c>
      <c r="D915">
        <v>664</v>
      </c>
    </row>
    <row r="916" spans="1:4">
      <c r="A916" s="3" t="s">
        <v>376</v>
      </c>
      <c r="C916" s="3" t="s">
        <v>1087</v>
      </c>
      <c r="D916">
        <v>539</v>
      </c>
    </row>
    <row r="917" spans="1:4">
      <c r="A917" s="3" t="s">
        <v>299</v>
      </c>
      <c r="C917" s="3" t="s">
        <v>1088</v>
      </c>
      <c r="D917">
        <v>481</v>
      </c>
    </row>
    <row r="918" spans="1:4">
      <c r="A918" s="3" t="s">
        <v>287</v>
      </c>
      <c r="C918" s="3" t="s">
        <v>1089</v>
      </c>
      <c r="D918">
        <v>22</v>
      </c>
    </row>
    <row r="919" spans="1:4">
      <c r="A919" s="3" t="s">
        <v>652</v>
      </c>
      <c r="C919" s="3" t="s">
        <v>1090</v>
      </c>
      <c r="D919">
        <v>208</v>
      </c>
    </row>
    <row r="920" spans="1:4">
      <c r="A920" s="3" t="s">
        <v>688</v>
      </c>
      <c r="C920" s="3" t="s">
        <v>1091</v>
      </c>
      <c r="D920">
        <v>188</v>
      </c>
    </row>
    <row r="921" spans="1:4">
      <c r="A921" s="3" t="s">
        <v>156</v>
      </c>
      <c r="C921" s="3" t="s">
        <v>1092</v>
      </c>
      <c r="D921">
        <v>542</v>
      </c>
    </row>
    <row r="922" spans="1:4">
      <c r="A922" s="3" t="s">
        <v>623</v>
      </c>
      <c r="C922" s="3" t="s">
        <v>1093</v>
      </c>
      <c r="D922">
        <v>183</v>
      </c>
    </row>
    <row r="923" spans="1:4">
      <c r="A923" s="3" t="s">
        <v>305</v>
      </c>
      <c r="C923" s="3" t="s">
        <v>1094</v>
      </c>
      <c r="D923">
        <v>348</v>
      </c>
    </row>
    <row r="924" spans="1:4">
      <c r="A924" s="3" t="s">
        <v>227</v>
      </c>
      <c r="C924" s="3" t="s">
        <v>1095</v>
      </c>
      <c r="D924">
        <v>618</v>
      </c>
    </row>
    <row r="925" spans="1:4">
      <c r="A925" s="3" t="s">
        <v>86</v>
      </c>
      <c r="C925" s="3" t="s">
        <v>1096</v>
      </c>
      <c r="D925">
        <v>254</v>
      </c>
    </row>
    <row r="926" spans="1:4">
      <c r="A926" s="3" t="s">
        <v>116</v>
      </c>
      <c r="C926" s="3" t="s">
        <v>1097</v>
      </c>
      <c r="D926">
        <v>595</v>
      </c>
    </row>
    <row r="927" spans="1:4">
      <c r="A927" s="3" t="s">
        <v>607</v>
      </c>
      <c r="C927" s="3" t="s">
        <v>1098</v>
      </c>
      <c r="D927">
        <v>113</v>
      </c>
    </row>
    <row r="928" spans="1:4">
      <c r="A928" s="3" t="s">
        <v>29</v>
      </c>
      <c r="C928" s="3" t="s">
        <v>1099</v>
      </c>
      <c r="D928">
        <v>670</v>
      </c>
    </row>
    <row r="929" spans="1:4">
      <c r="A929" s="3" t="s">
        <v>81</v>
      </c>
      <c r="C929" s="3" t="s">
        <v>1100</v>
      </c>
      <c r="D929">
        <v>280</v>
      </c>
    </row>
    <row r="930" spans="1:4">
      <c r="A930" s="3" t="s">
        <v>584</v>
      </c>
      <c r="C930" s="3" t="s">
        <v>1101</v>
      </c>
      <c r="D930">
        <v>180</v>
      </c>
    </row>
    <row r="931" spans="1:4">
      <c r="A931" s="3" t="s">
        <v>496</v>
      </c>
      <c r="C931" s="3" t="s">
        <v>1102</v>
      </c>
      <c r="D931">
        <v>78</v>
      </c>
    </row>
    <row r="932" spans="1:4">
      <c r="A932" s="3" t="s">
        <v>335</v>
      </c>
      <c r="C932" s="3" t="s">
        <v>1103</v>
      </c>
      <c r="D932">
        <v>90</v>
      </c>
    </row>
    <row r="933" spans="1:4">
      <c r="A933" s="3" t="s">
        <v>221</v>
      </c>
      <c r="C933" s="3" t="s">
        <v>1104</v>
      </c>
      <c r="D933">
        <v>40</v>
      </c>
    </row>
    <row r="934" spans="1:4">
      <c r="A934" s="3" t="s">
        <v>302</v>
      </c>
      <c r="C934" s="3" t="s">
        <v>1105</v>
      </c>
      <c r="D934">
        <v>260</v>
      </c>
    </row>
    <row r="935" spans="1:4">
      <c r="A935" s="3" t="s">
        <v>137</v>
      </c>
      <c r="C935" s="3" t="s">
        <v>1106</v>
      </c>
      <c r="D935">
        <v>420</v>
      </c>
    </row>
    <row r="936" spans="1:4">
      <c r="A936" s="3" t="s">
        <v>362</v>
      </c>
      <c r="C936" s="3" t="s">
        <v>1107</v>
      </c>
      <c r="D936">
        <v>186</v>
      </c>
    </row>
    <row r="937" spans="1:4">
      <c r="A937" s="3" t="s">
        <v>347</v>
      </c>
      <c r="C937" s="3" t="s">
        <v>1108</v>
      </c>
      <c r="D937">
        <v>554</v>
      </c>
    </row>
    <row r="938" spans="1:4">
      <c r="A938" s="3" t="s">
        <v>365</v>
      </c>
      <c r="C938" s="3" t="s">
        <v>1109</v>
      </c>
      <c r="D938">
        <v>647</v>
      </c>
    </row>
    <row r="939" spans="1:4">
      <c r="A939" s="3" t="s">
        <v>368</v>
      </c>
      <c r="C939" s="3" t="s">
        <v>1110</v>
      </c>
      <c r="D939">
        <v>491</v>
      </c>
    </row>
    <row r="940" spans="1:4">
      <c r="A940" s="3" t="s">
        <v>214</v>
      </c>
      <c r="C940" s="3" t="s">
        <v>1111</v>
      </c>
      <c r="D940">
        <v>307</v>
      </c>
    </row>
    <row r="941" spans="1:4">
      <c r="A941" s="3" t="s">
        <v>565</v>
      </c>
      <c r="C941" s="3" t="s">
        <v>1112</v>
      </c>
      <c r="D941">
        <v>682</v>
      </c>
    </row>
    <row r="942" spans="1:4">
      <c r="A942" s="3" t="s">
        <v>594</v>
      </c>
      <c r="C942" s="3" t="s">
        <v>1113</v>
      </c>
      <c r="D942">
        <v>341</v>
      </c>
    </row>
    <row r="943" spans="1:4">
      <c r="A943" s="3" t="s">
        <v>172</v>
      </c>
      <c r="C943" s="3" t="s">
        <v>1114</v>
      </c>
      <c r="D943">
        <v>645</v>
      </c>
    </row>
    <row r="944" spans="1:4">
      <c r="A944" s="3" t="s">
        <v>528</v>
      </c>
      <c r="C944" s="3" t="s">
        <v>1115</v>
      </c>
      <c r="D944">
        <v>318</v>
      </c>
    </row>
    <row r="945" spans="1:4">
      <c r="A945" s="3" t="s">
        <v>438</v>
      </c>
      <c r="C945" s="3" t="s">
        <v>1116</v>
      </c>
      <c r="D945">
        <v>135</v>
      </c>
    </row>
    <row r="946" spans="1:4">
      <c r="A946" s="3" t="s">
        <v>36</v>
      </c>
      <c r="C946" s="3" t="s">
        <v>1117</v>
      </c>
      <c r="D946">
        <v>31</v>
      </c>
    </row>
    <row r="947" spans="1:4">
      <c r="A947" s="3" t="s">
        <v>730</v>
      </c>
      <c r="C947" s="3" t="s">
        <v>1118</v>
      </c>
      <c r="D947">
        <v>61</v>
      </c>
    </row>
    <row r="948" spans="1:4">
      <c r="A948" s="3" t="s">
        <v>153</v>
      </c>
      <c r="C948" s="3" t="s">
        <v>1119</v>
      </c>
      <c r="D948">
        <v>154</v>
      </c>
    </row>
    <row r="949" spans="1:4">
      <c r="A949" s="3" t="s">
        <v>666</v>
      </c>
      <c r="C949" s="3" t="s">
        <v>1120</v>
      </c>
      <c r="D949">
        <v>271</v>
      </c>
    </row>
    <row r="950" spans="1:4">
      <c r="A950" s="3" t="s">
        <v>22</v>
      </c>
      <c r="C950" s="3" t="s">
        <v>1121</v>
      </c>
      <c r="D950">
        <v>617</v>
      </c>
    </row>
    <row r="951" spans="1:4">
      <c r="A951" s="3" t="s">
        <v>787</v>
      </c>
      <c r="C951" s="3" t="s">
        <v>1122</v>
      </c>
      <c r="D951">
        <v>371</v>
      </c>
    </row>
    <row r="952" spans="1:4">
      <c r="A952" s="3" t="s">
        <v>611</v>
      </c>
      <c r="C952" s="3" t="s">
        <v>1123</v>
      </c>
      <c r="D952">
        <v>196</v>
      </c>
    </row>
    <row r="953" spans="1:4">
      <c r="A953" s="3" t="s">
        <v>656</v>
      </c>
      <c r="C953" s="3" t="s">
        <v>1124</v>
      </c>
      <c r="D953">
        <v>519</v>
      </c>
    </row>
    <row r="954" spans="1:4">
      <c r="A954" s="3" t="s">
        <v>546</v>
      </c>
      <c r="C954" s="3" t="s">
        <v>1125</v>
      </c>
      <c r="D954">
        <v>81</v>
      </c>
    </row>
    <row r="955" spans="1:4">
      <c r="A955" s="3" t="s">
        <v>184</v>
      </c>
      <c r="C955" s="3" t="s">
        <v>1126</v>
      </c>
      <c r="D955">
        <v>136</v>
      </c>
    </row>
    <row r="956" spans="1:4">
      <c r="A956" s="3" t="s">
        <v>826</v>
      </c>
      <c r="C956" s="3" t="s">
        <v>1127</v>
      </c>
      <c r="D956">
        <v>106</v>
      </c>
    </row>
    <row r="957" spans="1:4">
      <c r="A957" s="3" t="s">
        <v>113</v>
      </c>
      <c r="C957" s="3" t="s">
        <v>1128</v>
      </c>
      <c r="D957">
        <v>34</v>
      </c>
    </row>
    <row r="958" spans="1:4">
      <c r="A958" s="3" t="s">
        <v>816</v>
      </c>
      <c r="C958" s="3" t="s">
        <v>1129</v>
      </c>
      <c r="D958">
        <v>567</v>
      </c>
    </row>
    <row r="959" spans="1:4">
      <c r="A959" s="3" t="s">
        <v>866</v>
      </c>
      <c r="C959" s="3" t="s">
        <v>1130</v>
      </c>
      <c r="D959">
        <v>224</v>
      </c>
    </row>
    <row r="960" spans="1:4">
      <c r="A960" s="3" t="s">
        <v>680</v>
      </c>
      <c r="C960" s="3" t="s">
        <v>1131</v>
      </c>
      <c r="D960">
        <v>166</v>
      </c>
    </row>
    <row r="961" spans="1:4">
      <c r="A961" s="3" t="s">
        <v>311</v>
      </c>
      <c r="C961" s="3" t="s">
        <v>1132</v>
      </c>
      <c r="D961">
        <v>331</v>
      </c>
    </row>
    <row r="962" spans="1:4">
      <c r="A962" s="3" t="s">
        <v>658</v>
      </c>
      <c r="C962" s="3" t="s">
        <v>1133</v>
      </c>
      <c r="D962">
        <v>434</v>
      </c>
    </row>
    <row r="963" spans="1:4">
      <c r="A963" s="3" t="s">
        <v>653</v>
      </c>
      <c r="C963" s="3" t="s">
        <v>1134</v>
      </c>
      <c r="D963">
        <v>454</v>
      </c>
    </row>
    <row r="964" spans="1:4">
      <c r="A964" s="3" t="s">
        <v>164</v>
      </c>
      <c r="C964" s="3" t="s">
        <v>1135</v>
      </c>
      <c r="D964">
        <v>674</v>
      </c>
    </row>
    <row r="965" spans="1:4">
      <c r="A965" s="3" t="s">
        <v>88</v>
      </c>
      <c r="C965" s="3" t="s">
        <v>1136</v>
      </c>
      <c r="D965">
        <v>343</v>
      </c>
    </row>
    <row r="966" spans="1:4">
      <c r="A966" s="3" t="s">
        <v>519</v>
      </c>
      <c r="C966" s="3" t="s">
        <v>1137</v>
      </c>
      <c r="D966">
        <v>354</v>
      </c>
    </row>
    <row r="967" spans="1:4">
      <c r="A967" s="3" t="s">
        <v>84</v>
      </c>
      <c r="C967" s="3" t="s">
        <v>1138</v>
      </c>
      <c r="D967">
        <v>283</v>
      </c>
    </row>
    <row r="968" spans="1:4">
      <c r="A968" s="3" t="s">
        <v>597</v>
      </c>
      <c r="C968" s="3" t="s">
        <v>1139</v>
      </c>
      <c r="D968">
        <v>55</v>
      </c>
    </row>
    <row r="969" spans="1:4">
      <c r="A969" s="3" t="s">
        <v>751</v>
      </c>
      <c r="C969" s="3" t="s">
        <v>1140</v>
      </c>
      <c r="D969">
        <v>686</v>
      </c>
    </row>
    <row r="970" spans="1:4">
      <c r="A970" s="3" t="s">
        <v>440</v>
      </c>
      <c r="C970" s="3" t="s">
        <v>1141</v>
      </c>
      <c r="D970">
        <v>589</v>
      </c>
    </row>
    <row r="971" spans="1:4">
      <c r="A971" s="3" t="s">
        <v>208</v>
      </c>
      <c r="C971" s="3" t="s">
        <v>1142</v>
      </c>
      <c r="D971">
        <v>97</v>
      </c>
    </row>
    <row r="972" spans="1:4">
      <c r="A972" s="3" t="s">
        <v>174</v>
      </c>
      <c r="C972" s="3" t="s">
        <v>1143</v>
      </c>
      <c r="D972">
        <v>292</v>
      </c>
    </row>
    <row r="973" spans="1:4">
      <c r="A973" s="3" t="s">
        <v>393</v>
      </c>
      <c r="C973" s="3" t="s">
        <v>1144</v>
      </c>
      <c r="D973">
        <v>185</v>
      </c>
    </row>
    <row r="974" spans="1:4">
      <c r="A974" s="3" t="s">
        <v>536</v>
      </c>
      <c r="C974" s="3" t="s">
        <v>1145</v>
      </c>
      <c r="D974">
        <v>365</v>
      </c>
    </row>
    <row r="975" spans="1:4">
      <c r="A975" s="3" t="s">
        <v>525</v>
      </c>
      <c r="C975" s="3" t="s">
        <v>1146</v>
      </c>
      <c r="D975">
        <v>284</v>
      </c>
    </row>
    <row r="976" spans="1:4">
      <c r="A976" s="3" t="s">
        <v>714</v>
      </c>
      <c r="C976" s="3" t="s">
        <v>1147</v>
      </c>
      <c r="D976">
        <v>206</v>
      </c>
    </row>
    <row r="977" spans="1:4">
      <c r="A977" s="3" t="s">
        <v>53</v>
      </c>
      <c r="C977" s="3" t="s">
        <v>1148</v>
      </c>
      <c r="D977">
        <v>391</v>
      </c>
    </row>
    <row r="978" spans="1:4">
      <c r="A978" s="3" t="s">
        <v>194</v>
      </c>
      <c r="C978" s="3" t="s">
        <v>1149</v>
      </c>
      <c r="D978">
        <v>551</v>
      </c>
    </row>
    <row r="979" spans="1:4">
      <c r="A979" s="3" t="s">
        <v>880</v>
      </c>
      <c r="C979" s="3" t="s">
        <v>1150</v>
      </c>
      <c r="D979">
        <v>18</v>
      </c>
    </row>
    <row r="980" spans="1:4">
      <c r="A980" s="3" t="s">
        <v>76</v>
      </c>
      <c r="C980" s="3" t="s">
        <v>1151</v>
      </c>
      <c r="D980">
        <v>584</v>
      </c>
    </row>
    <row r="981" spans="1:4">
      <c r="A981" s="3" t="s">
        <v>807</v>
      </c>
      <c r="C981" s="3" t="s">
        <v>1152</v>
      </c>
      <c r="D981">
        <v>91</v>
      </c>
    </row>
    <row r="982" spans="1:4">
      <c r="A982" s="3" t="s">
        <v>123</v>
      </c>
      <c r="C982" s="3" t="s">
        <v>1153</v>
      </c>
      <c r="D982">
        <v>312</v>
      </c>
    </row>
    <row r="983" spans="1:4">
      <c r="A983" s="3" t="s">
        <v>101</v>
      </c>
      <c r="C983" s="3" t="s">
        <v>1154</v>
      </c>
      <c r="D983">
        <v>53</v>
      </c>
    </row>
    <row r="984" spans="1:4">
      <c r="A984" s="3" t="s">
        <v>483</v>
      </c>
      <c r="C984" s="3" t="s">
        <v>1155</v>
      </c>
      <c r="D984">
        <v>447</v>
      </c>
    </row>
    <row r="985" spans="1:4">
      <c r="A985" s="3" t="s">
        <v>722</v>
      </c>
      <c r="C985" s="3" t="s">
        <v>1156</v>
      </c>
      <c r="D985">
        <v>235</v>
      </c>
    </row>
    <row r="986" spans="1:4">
      <c r="A986" s="3" t="s">
        <v>307</v>
      </c>
      <c r="C986" s="3" t="s">
        <v>1157</v>
      </c>
      <c r="D986">
        <v>358</v>
      </c>
    </row>
    <row r="987" spans="1:4">
      <c r="A987" s="3" t="s">
        <v>414</v>
      </c>
      <c r="C987" s="3" t="s">
        <v>1158</v>
      </c>
      <c r="D987">
        <v>553</v>
      </c>
    </row>
    <row r="988" spans="1:4">
      <c r="A988" s="3" t="s">
        <v>764</v>
      </c>
      <c r="C988" s="3" t="s">
        <v>1159</v>
      </c>
      <c r="D988">
        <v>122</v>
      </c>
    </row>
    <row r="989" spans="1:4">
      <c r="A989" s="3" t="s">
        <v>234</v>
      </c>
      <c r="C989" s="3" t="s">
        <v>1160</v>
      </c>
      <c r="D989">
        <v>226</v>
      </c>
    </row>
    <row r="990" spans="1:4">
      <c r="A990" s="3" t="s">
        <v>617</v>
      </c>
      <c r="C990" s="3" t="s">
        <v>1161</v>
      </c>
      <c r="D990">
        <v>228</v>
      </c>
    </row>
    <row r="991" spans="1:4">
      <c r="A991" s="3" t="s">
        <v>280</v>
      </c>
      <c r="C991" s="3" t="s">
        <v>1162</v>
      </c>
      <c r="D991">
        <v>625</v>
      </c>
    </row>
    <row r="992" spans="1:4">
      <c r="A992" s="3" t="s">
        <v>337</v>
      </c>
      <c r="C992" s="3" t="s">
        <v>1163</v>
      </c>
      <c r="D992">
        <v>142</v>
      </c>
    </row>
    <row r="993" spans="1:4">
      <c r="A993" s="3" t="s">
        <v>219</v>
      </c>
      <c r="C993" s="3" t="s">
        <v>1164</v>
      </c>
      <c r="D993">
        <v>541</v>
      </c>
    </row>
    <row r="994" spans="1:4">
      <c r="A994" s="3" t="s">
        <v>647</v>
      </c>
      <c r="C994" s="3" t="s">
        <v>1165</v>
      </c>
      <c r="D994">
        <v>126</v>
      </c>
    </row>
    <row r="995" spans="1:4">
      <c r="A995" s="3" t="s">
        <v>345</v>
      </c>
      <c r="C995" s="3" t="s">
        <v>1166</v>
      </c>
      <c r="D995">
        <v>242</v>
      </c>
    </row>
    <row r="996" spans="1:4">
      <c r="A996" s="3" t="s">
        <v>336</v>
      </c>
      <c r="C996" s="3" t="s">
        <v>1167</v>
      </c>
      <c r="D996">
        <v>407</v>
      </c>
    </row>
    <row r="997" spans="1:4">
      <c r="A997" s="3" t="s">
        <v>504</v>
      </c>
      <c r="C997" s="3" t="s">
        <v>1168</v>
      </c>
      <c r="D997">
        <v>168</v>
      </c>
    </row>
    <row r="998" spans="1:4">
      <c r="A998" s="3" t="s">
        <v>212</v>
      </c>
      <c r="C998" s="3" t="s">
        <v>1169</v>
      </c>
      <c r="D998">
        <v>50</v>
      </c>
    </row>
    <row r="999" spans="1:4">
      <c r="A999" s="3" t="s">
        <v>163</v>
      </c>
      <c r="C999" s="3" t="s">
        <v>1170</v>
      </c>
      <c r="D999">
        <v>596</v>
      </c>
    </row>
    <row r="1000" spans="1:4">
      <c r="A1000" s="3" t="s">
        <v>209</v>
      </c>
      <c r="C1000" s="3" t="s">
        <v>1171</v>
      </c>
      <c r="D1000">
        <v>353</v>
      </c>
    </row>
    <row r="1001" spans="1:4">
      <c r="A1001" s="3" t="s">
        <v>121</v>
      </c>
      <c r="C1001" s="3" t="s">
        <v>1172</v>
      </c>
      <c r="D1001">
        <v>1</v>
      </c>
    </row>
    <row r="1002" spans="1:4">
      <c r="A1002" s="3" t="s">
        <v>563</v>
      </c>
      <c r="C1002" s="3" t="s">
        <v>1173</v>
      </c>
      <c r="D1002">
        <v>517</v>
      </c>
    </row>
    <row r="1003" spans="1:4">
      <c r="A1003" s="3" t="s">
        <v>342</v>
      </c>
      <c r="C1003" s="3" t="s">
        <v>1174</v>
      </c>
      <c r="D1003">
        <v>32</v>
      </c>
    </row>
    <row r="1004" spans="1:4">
      <c r="A1004" s="3" t="s">
        <v>68</v>
      </c>
      <c r="C1004" s="3" t="s">
        <v>1175</v>
      </c>
      <c r="D1004">
        <v>676</v>
      </c>
    </row>
    <row r="1005" spans="1:4">
      <c r="A1005" s="3" t="s">
        <v>436</v>
      </c>
      <c r="C1005" s="3" t="s">
        <v>1176</v>
      </c>
      <c r="D1005">
        <v>642</v>
      </c>
    </row>
    <row r="1006" spans="1:4">
      <c r="A1006" s="3" t="s">
        <v>186</v>
      </c>
      <c r="C1006" s="3" t="s">
        <v>1177</v>
      </c>
      <c r="D1006">
        <v>370</v>
      </c>
    </row>
    <row r="1007" spans="1:4">
      <c r="A1007" s="3" t="s">
        <v>339</v>
      </c>
      <c r="C1007" s="3" t="s">
        <v>1178</v>
      </c>
      <c r="D1007">
        <v>162</v>
      </c>
    </row>
    <row r="1008" spans="1:4">
      <c r="A1008" s="3" t="s">
        <v>118</v>
      </c>
      <c r="C1008" s="3" t="s">
        <v>1179</v>
      </c>
      <c r="D1008">
        <v>477</v>
      </c>
    </row>
    <row r="1009" spans="1:4">
      <c r="A1009" s="3" t="s">
        <v>313</v>
      </c>
      <c r="C1009" s="3" t="s">
        <v>1180</v>
      </c>
      <c r="D1009">
        <v>137</v>
      </c>
    </row>
    <row r="1010" spans="1:4">
      <c r="A1010" s="3" t="s">
        <v>71</v>
      </c>
      <c r="C1010" s="3" t="s">
        <v>1181</v>
      </c>
      <c r="D1010">
        <v>134</v>
      </c>
    </row>
    <row r="1011" spans="1:4">
      <c r="A1011" s="3" t="s">
        <v>549</v>
      </c>
      <c r="C1011" s="3" t="s">
        <v>1182</v>
      </c>
      <c r="D1011">
        <v>66</v>
      </c>
    </row>
    <row r="1012" spans="1:4">
      <c r="A1012" s="3" t="s">
        <v>467</v>
      </c>
      <c r="C1012" s="3" t="s">
        <v>1183</v>
      </c>
      <c r="D1012">
        <v>630</v>
      </c>
    </row>
    <row r="1013" spans="1:4">
      <c r="A1013" s="3" t="s">
        <v>63</v>
      </c>
      <c r="C1013" s="3" t="s">
        <v>1184</v>
      </c>
      <c r="D1013">
        <v>594</v>
      </c>
    </row>
    <row r="1014" spans="1:4">
      <c r="A1014" s="3" t="s">
        <v>444</v>
      </c>
      <c r="C1014" s="3" t="s">
        <v>1185</v>
      </c>
      <c r="D1014">
        <v>511</v>
      </c>
    </row>
    <row r="1015" spans="1:4">
      <c r="A1015" s="3" t="s">
        <v>768</v>
      </c>
      <c r="C1015" s="3" t="s">
        <v>1186</v>
      </c>
      <c r="D1015">
        <v>637</v>
      </c>
    </row>
    <row r="1016" spans="1:4">
      <c r="A1016" s="3" t="s">
        <v>580</v>
      </c>
      <c r="C1016" s="3" t="s">
        <v>1187</v>
      </c>
      <c r="D1016">
        <v>462</v>
      </c>
    </row>
    <row r="1017" spans="1:4">
      <c r="A1017" s="3" t="s">
        <v>893</v>
      </c>
      <c r="C1017" s="3" t="s">
        <v>1188</v>
      </c>
      <c r="D1017">
        <v>296</v>
      </c>
    </row>
    <row r="1018" spans="1:4">
      <c r="A1018" s="3" t="s">
        <v>158</v>
      </c>
      <c r="C1018" s="3" t="s">
        <v>1189</v>
      </c>
      <c r="D1018">
        <v>217</v>
      </c>
    </row>
    <row r="1019" spans="1:4">
      <c r="A1019" s="3" t="s">
        <v>621</v>
      </c>
      <c r="C1019" s="3" t="s">
        <v>1190</v>
      </c>
      <c r="D1019">
        <v>275</v>
      </c>
    </row>
    <row r="1020" spans="1:4">
      <c r="A1020" s="3" t="s">
        <v>408</v>
      </c>
      <c r="C1020" s="3" t="s">
        <v>1191</v>
      </c>
      <c r="D1020">
        <v>281</v>
      </c>
    </row>
    <row r="1021" spans="1:4">
      <c r="A1021" s="3" t="s">
        <v>131</v>
      </c>
      <c r="C1021" s="3" t="s">
        <v>1192</v>
      </c>
      <c r="D1021">
        <v>39</v>
      </c>
    </row>
    <row r="1022" spans="1:4">
      <c r="A1022" s="3" t="s">
        <v>864</v>
      </c>
      <c r="C1022" s="3" t="s">
        <v>1193</v>
      </c>
      <c r="D1022">
        <v>669</v>
      </c>
    </row>
    <row r="1023" spans="1:4">
      <c r="A1023" s="3" t="s">
        <v>162</v>
      </c>
      <c r="C1023" s="3" t="s">
        <v>1194</v>
      </c>
      <c r="D1023">
        <v>209</v>
      </c>
    </row>
    <row r="1024" spans="1:4">
      <c r="A1024" s="3" t="s">
        <v>416</v>
      </c>
      <c r="C1024" s="3" t="s">
        <v>1195</v>
      </c>
      <c r="D1024">
        <v>394</v>
      </c>
    </row>
    <row r="1025" spans="1:4">
      <c r="A1025" s="3" t="s">
        <v>472</v>
      </c>
      <c r="C1025" s="3" t="s">
        <v>1196</v>
      </c>
      <c r="D1025">
        <v>602</v>
      </c>
    </row>
    <row r="1026" spans="1:4">
      <c r="A1026" s="3" t="s">
        <v>814</v>
      </c>
      <c r="C1026" s="3" t="s">
        <v>1197</v>
      </c>
      <c r="D1026">
        <v>385</v>
      </c>
    </row>
    <row r="1027" spans="1:4">
      <c r="A1027" s="3" t="s">
        <v>835</v>
      </c>
      <c r="C1027" s="3" t="s">
        <v>1198</v>
      </c>
      <c r="D1027">
        <v>655</v>
      </c>
    </row>
    <row r="1028" spans="1:4">
      <c r="A1028" s="3" t="s">
        <v>601</v>
      </c>
      <c r="C1028" s="3" t="s">
        <v>1199</v>
      </c>
      <c r="D1028">
        <v>683</v>
      </c>
    </row>
    <row r="1029" spans="1:4">
      <c r="A1029" s="3" t="s">
        <v>45</v>
      </c>
      <c r="C1029" s="3" t="s">
        <v>1200</v>
      </c>
      <c r="D1029">
        <v>530</v>
      </c>
    </row>
    <row r="1030" spans="1:4">
      <c r="A1030" s="3" t="s">
        <v>245</v>
      </c>
      <c r="C1030" s="3" t="s">
        <v>1201</v>
      </c>
      <c r="D1030">
        <v>585</v>
      </c>
    </row>
    <row r="1031" spans="1:4">
      <c r="A1031" s="3" t="s">
        <v>668</v>
      </c>
      <c r="C1031" s="3" t="s">
        <v>1202</v>
      </c>
      <c r="D1031">
        <v>487</v>
      </c>
    </row>
    <row r="1032" spans="1:4">
      <c r="A1032" s="3" t="s">
        <v>141</v>
      </c>
      <c r="C1032" s="3" t="s">
        <v>1203</v>
      </c>
      <c r="D1032">
        <v>218</v>
      </c>
    </row>
    <row r="1033" spans="1:4">
      <c r="A1033" s="3" t="s">
        <v>694</v>
      </c>
      <c r="C1033" s="3" t="s">
        <v>1204</v>
      </c>
      <c r="D1033">
        <v>336</v>
      </c>
    </row>
    <row r="1034" spans="1:4">
      <c r="A1034" s="3" t="s">
        <v>464</v>
      </c>
      <c r="C1034" s="3" t="s">
        <v>1205</v>
      </c>
      <c r="D1034">
        <v>666</v>
      </c>
    </row>
    <row r="1035" spans="1:4">
      <c r="A1035" s="3" t="s">
        <v>197</v>
      </c>
      <c r="C1035" s="3" t="s">
        <v>1206</v>
      </c>
      <c r="D1035">
        <v>377</v>
      </c>
    </row>
    <row r="1036" spans="1:4">
      <c r="A1036" s="3" t="s">
        <v>431</v>
      </c>
      <c r="C1036" s="3" t="s">
        <v>1207</v>
      </c>
      <c r="D1036">
        <v>486</v>
      </c>
    </row>
    <row r="1037" spans="1:4">
      <c r="A1037" s="3" t="s">
        <v>732</v>
      </c>
      <c r="C1037" s="3" t="s">
        <v>1208</v>
      </c>
      <c r="D1037">
        <v>204</v>
      </c>
    </row>
    <row r="1038" spans="1:4">
      <c r="A1038" s="3" t="s">
        <v>854</v>
      </c>
      <c r="C1038" s="3" t="s">
        <v>1209</v>
      </c>
      <c r="D1038">
        <v>600</v>
      </c>
    </row>
    <row r="1039" spans="1:4">
      <c r="A1039" s="3" t="s">
        <v>374</v>
      </c>
      <c r="C1039" s="3" t="s">
        <v>1210</v>
      </c>
      <c r="D1039">
        <v>335</v>
      </c>
    </row>
    <row r="1040" spans="1:4">
      <c r="A1040" s="3" t="s">
        <v>325</v>
      </c>
      <c r="C1040" s="3" t="s">
        <v>1211</v>
      </c>
      <c r="D1040">
        <v>383</v>
      </c>
    </row>
    <row r="1041" spans="1:4">
      <c r="A1041" s="3" t="s">
        <v>229</v>
      </c>
      <c r="C1041" s="3" t="s">
        <v>1212</v>
      </c>
      <c r="D1041">
        <v>314</v>
      </c>
    </row>
    <row r="1042" spans="1:4">
      <c r="A1042" s="3" t="s">
        <v>103</v>
      </c>
      <c r="C1042" s="3" t="s">
        <v>1213</v>
      </c>
      <c r="D1042">
        <v>65</v>
      </c>
    </row>
    <row r="1043" spans="1:4">
      <c r="A1043" s="3" t="s">
        <v>791</v>
      </c>
      <c r="C1043" s="3" t="s">
        <v>1214</v>
      </c>
      <c r="D1043">
        <v>621</v>
      </c>
    </row>
    <row r="1044" spans="1:4">
      <c r="A1044" s="3" t="s">
        <v>284</v>
      </c>
      <c r="C1044" s="3" t="s">
        <v>1215</v>
      </c>
      <c r="D1044">
        <v>252</v>
      </c>
    </row>
    <row r="1045" spans="1:4">
      <c r="A1045" s="3" t="s">
        <v>902</v>
      </c>
      <c r="C1045" s="3" t="s">
        <v>1216</v>
      </c>
      <c r="D1045">
        <v>107</v>
      </c>
    </row>
    <row r="1046" spans="1:4">
      <c r="C1046" s="3" t="s">
        <v>1217</v>
      </c>
      <c r="D1046">
        <v>203</v>
      </c>
    </row>
    <row r="1047" spans="1:4">
      <c r="C1047" s="3" t="s">
        <v>1218</v>
      </c>
      <c r="D1047">
        <v>14</v>
      </c>
    </row>
    <row r="1048" spans="1:4">
      <c r="C1048" s="3" t="s">
        <v>1219</v>
      </c>
      <c r="D1048">
        <v>143</v>
      </c>
    </row>
    <row r="1049" spans="1:4">
      <c r="C1049" s="3" t="s">
        <v>1220</v>
      </c>
      <c r="D1049">
        <v>268</v>
      </c>
    </row>
    <row r="1050" spans="1:4">
      <c r="C1050" s="3" t="s">
        <v>1221</v>
      </c>
      <c r="D1050">
        <v>7</v>
      </c>
    </row>
    <row r="1051" spans="1:4">
      <c r="C1051" s="3" t="s">
        <v>1222</v>
      </c>
      <c r="D1051">
        <v>301</v>
      </c>
    </row>
    <row r="1052" spans="1:4">
      <c r="C1052" s="3" t="s">
        <v>1223</v>
      </c>
      <c r="D1052">
        <v>635</v>
      </c>
    </row>
    <row r="1053" spans="1:4">
      <c r="C1053" s="3" t="s">
        <v>1224</v>
      </c>
      <c r="D1053">
        <v>435</v>
      </c>
    </row>
    <row r="1054" spans="1:4">
      <c r="C1054" s="3" t="s">
        <v>1225</v>
      </c>
      <c r="D1054">
        <v>329</v>
      </c>
    </row>
    <row r="1055" spans="1:4">
      <c r="C1055" s="3" t="s">
        <v>1226</v>
      </c>
      <c r="D1055">
        <v>613</v>
      </c>
    </row>
    <row r="1056" spans="1:4">
      <c r="C1056" s="3" t="s">
        <v>1227</v>
      </c>
      <c r="D1056">
        <v>253</v>
      </c>
    </row>
    <row r="1057" spans="3:4">
      <c r="C1057" s="3" t="s">
        <v>1228</v>
      </c>
      <c r="D1057">
        <v>441</v>
      </c>
    </row>
    <row r="1058" spans="3:4">
      <c r="C1058" s="3" t="s">
        <v>1229</v>
      </c>
      <c r="D1058">
        <v>152</v>
      </c>
    </row>
    <row r="1059" spans="3:4">
      <c r="C1059" s="3" t="s">
        <v>1230</v>
      </c>
      <c r="D1059">
        <v>528</v>
      </c>
    </row>
    <row r="1060" spans="3:4">
      <c r="C1060" s="3" t="s">
        <v>1231</v>
      </c>
      <c r="D1060">
        <v>679</v>
      </c>
    </row>
    <row r="1061" spans="3:4">
      <c r="C1061" s="3" t="s">
        <v>1232</v>
      </c>
      <c r="D1061">
        <v>337</v>
      </c>
    </row>
    <row r="1062" spans="3:4">
      <c r="C1062" s="3" t="s">
        <v>1233</v>
      </c>
      <c r="D1062">
        <v>182</v>
      </c>
    </row>
    <row r="1063" spans="3:4">
      <c r="C1063" s="3" t="s">
        <v>1234</v>
      </c>
      <c r="D1063">
        <v>466</v>
      </c>
    </row>
    <row r="1064" spans="3:4">
      <c r="C1064" s="3" t="s">
        <v>1235</v>
      </c>
      <c r="D1064">
        <v>308</v>
      </c>
    </row>
    <row r="1065" spans="3:4">
      <c r="C1065" s="3" t="s">
        <v>1236</v>
      </c>
      <c r="D1065">
        <v>27</v>
      </c>
    </row>
    <row r="1066" spans="3:4">
      <c r="C1066" s="3" t="s">
        <v>1237</v>
      </c>
      <c r="D1066">
        <v>129</v>
      </c>
    </row>
    <row r="1067" spans="3:4">
      <c r="C1067" s="3" t="s">
        <v>1238</v>
      </c>
      <c r="D1067">
        <v>508</v>
      </c>
    </row>
    <row r="1068" spans="3:4">
      <c r="C1068" s="3" t="s">
        <v>1239</v>
      </c>
      <c r="D1068">
        <v>565</v>
      </c>
    </row>
    <row r="1069" spans="3:4">
      <c r="C1069" s="3" t="s">
        <v>1240</v>
      </c>
      <c r="D1069">
        <v>223</v>
      </c>
    </row>
    <row r="1070" spans="3:4">
      <c r="C1070" s="3" t="s">
        <v>1241</v>
      </c>
      <c r="D1070">
        <v>132</v>
      </c>
    </row>
    <row r="1071" spans="3:4">
      <c r="C1071" s="3" t="s">
        <v>1242</v>
      </c>
      <c r="D1071">
        <v>269</v>
      </c>
    </row>
    <row r="1072" spans="3:4">
      <c r="C1072" s="3" t="s">
        <v>1243</v>
      </c>
      <c r="D1072">
        <v>409</v>
      </c>
    </row>
    <row r="1073" spans="3:4">
      <c r="C1073" s="3" t="s">
        <v>1244</v>
      </c>
      <c r="D1073">
        <v>672</v>
      </c>
    </row>
    <row r="1074" spans="3:4">
      <c r="C1074" s="3" t="s">
        <v>1245</v>
      </c>
      <c r="D1074">
        <v>109</v>
      </c>
    </row>
    <row r="1075" spans="3:4">
      <c r="C1075" s="3" t="s">
        <v>1246</v>
      </c>
      <c r="D1075">
        <v>418</v>
      </c>
    </row>
    <row r="1076" spans="3:4">
      <c r="C1076" s="3" t="s">
        <v>1247</v>
      </c>
      <c r="D1076">
        <v>127</v>
      </c>
    </row>
    <row r="1077" spans="3:4">
      <c r="C1077" s="3" t="s">
        <v>1248</v>
      </c>
      <c r="D1077">
        <v>150</v>
      </c>
    </row>
    <row r="1078" spans="3:4">
      <c r="C1078" s="3" t="s">
        <v>1249</v>
      </c>
      <c r="D1078">
        <v>414</v>
      </c>
    </row>
    <row r="1079" spans="3:4">
      <c r="C1079" s="3" t="s">
        <v>1250</v>
      </c>
      <c r="D1079">
        <v>72</v>
      </c>
    </row>
    <row r="1080" spans="3:4">
      <c r="C1080" s="3" t="s">
        <v>1251</v>
      </c>
      <c r="D1080">
        <v>128</v>
      </c>
    </row>
    <row r="1081" spans="3:4">
      <c r="C1081" s="3" t="s">
        <v>1252</v>
      </c>
      <c r="D1081">
        <v>261</v>
      </c>
    </row>
    <row r="1082" spans="3:4">
      <c r="C1082" s="3" t="s">
        <v>1253</v>
      </c>
      <c r="D1082">
        <v>264</v>
      </c>
    </row>
    <row r="1083" spans="3:4">
      <c r="C1083" s="3" t="s">
        <v>1254</v>
      </c>
      <c r="D1083">
        <v>500</v>
      </c>
    </row>
    <row r="1084" spans="3:4">
      <c r="C1084" s="3" t="s">
        <v>1255</v>
      </c>
      <c r="D1084">
        <v>516</v>
      </c>
    </row>
    <row r="1085" spans="3:4">
      <c r="C1085" s="3" t="s">
        <v>1256</v>
      </c>
      <c r="D1085">
        <v>237</v>
      </c>
    </row>
    <row r="1086" spans="3:4">
      <c r="C1086" s="3" t="s">
        <v>1257</v>
      </c>
      <c r="D1086">
        <v>246</v>
      </c>
    </row>
    <row r="1087" spans="3:4">
      <c r="C1087" s="3" t="s">
        <v>1258</v>
      </c>
      <c r="D1087">
        <v>573</v>
      </c>
    </row>
    <row r="1088" spans="3:4">
      <c r="C1088" s="3" t="s">
        <v>1259</v>
      </c>
      <c r="D1088">
        <v>397</v>
      </c>
    </row>
    <row r="1089" spans="3:4">
      <c r="C1089" s="3" t="s">
        <v>1260</v>
      </c>
      <c r="D1089">
        <v>550</v>
      </c>
    </row>
    <row r="1090" spans="3:4">
      <c r="C1090" s="3" t="s">
        <v>1261</v>
      </c>
      <c r="D1090">
        <v>479</v>
      </c>
    </row>
    <row r="1091" spans="3:4">
      <c r="C1091" s="3" t="s">
        <v>1262</v>
      </c>
      <c r="D1091">
        <v>76</v>
      </c>
    </row>
    <row r="1092" spans="3:4">
      <c r="C1092" s="3" t="s">
        <v>1263</v>
      </c>
      <c r="D1092">
        <v>687</v>
      </c>
    </row>
    <row r="1093" spans="3:4">
      <c r="C1093" s="3" t="s">
        <v>1264</v>
      </c>
      <c r="D1093">
        <v>163</v>
      </c>
    </row>
    <row r="1094" spans="3:4">
      <c r="C1094" s="3" t="s">
        <v>1265</v>
      </c>
      <c r="D1094">
        <v>297</v>
      </c>
    </row>
    <row r="1095" spans="3:4">
      <c r="C1095" s="3" t="s">
        <v>1266</v>
      </c>
      <c r="D1095">
        <v>505</v>
      </c>
    </row>
    <row r="1096" spans="3:4">
      <c r="C1096" s="3" t="s">
        <v>1267</v>
      </c>
      <c r="D1096">
        <v>620</v>
      </c>
    </row>
    <row r="1097" spans="3:4">
      <c r="C1097" s="3" t="s">
        <v>1268</v>
      </c>
      <c r="D1097">
        <v>310</v>
      </c>
    </row>
    <row r="1098" spans="3:4">
      <c r="C1098" s="3" t="s">
        <v>1269</v>
      </c>
      <c r="D1098">
        <v>316</v>
      </c>
    </row>
    <row r="1099" spans="3:4">
      <c r="C1099" s="3" t="s">
        <v>1270</v>
      </c>
      <c r="D1099">
        <v>456</v>
      </c>
    </row>
    <row r="1100" spans="3:4">
      <c r="C1100" s="3" t="s">
        <v>1271</v>
      </c>
      <c r="D1100">
        <v>141</v>
      </c>
    </row>
    <row r="1101" spans="3:4">
      <c r="C1101" s="3" t="s">
        <v>1272</v>
      </c>
      <c r="D1101">
        <v>330</v>
      </c>
    </row>
    <row r="1102" spans="3:4">
      <c r="C1102" s="3" t="s">
        <v>1273</v>
      </c>
      <c r="D1102">
        <v>524</v>
      </c>
    </row>
    <row r="1103" spans="3:4">
      <c r="C1103" s="3" t="s">
        <v>1274</v>
      </c>
      <c r="D1103">
        <v>274</v>
      </c>
    </row>
    <row r="1104" spans="3:4">
      <c r="C1104" s="3" t="s">
        <v>1275</v>
      </c>
      <c r="D1104">
        <v>525</v>
      </c>
    </row>
    <row r="1105" spans="3:4">
      <c r="C1105" s="3" t="s">
        <v>1276</v>
      </c>
      <c r="D1105">
        <v>221</v>
      </c>
    </row>
    <row r="1106" spans="3:4">
      <c r="C1106" s="3" t="s">
        <v>1277</v>
      </c>
      <c r="D1106">
        <v>256</v>
      </c>
    </row>
    <row r="1107" spans="3:4">
      <c r="C1107" s="3" t="s">
        <v>1278</v>
      </c>
      <c r="D1107">
        <v>167</v>
      </c>
    </row>
    <row r="1108" spans="3:4">
      <c r="C1108" s="3" t="s">
        <v>1279</v>
      </c>
      <c r="D1108">
        <v>160</v>
      </c>
    </row>
    <row r="1109" spans="3:4">
      <c r="C1109" s="3" t="s">
        <v>1280</v>
      </c>
      <c r="D1109">
        <v>449</v>
      </c>
    </row>
    <row r="1110" spans="3:4">
      <c r="C1110" s="3" t="s">
        <v>1281</v>
      </c>
      <c r="D1110">
        <v>483</v>
      </c>
    </row>
    <row r="1111" spans="3:4">
      <c r="C1111" s="3" t="s">
        <v>1282</v>
      </c>
      <c r="D1111">
        <v>70</v>
      </c>
    </row>
    <row r="1112" spans="3:4">
      <c r="C1112" s="3" t="s">
        <v>1283</v>
      </c>
      <c r="D1112">
        <v>421</v>
      </c>
    </row>
    <row r="1113" spans="3:4">
      <c r="C1113" s="3" t="s">
        <v>1284</v>
      </c>
      <c r="D1113">
        <v>172</v>
      </c>
    </row>
    <row r="1114" spans="3:4">
      <c r="C1114" s="3" t="s">
        <v>1285</v>
      </c>
      <c r="D1114">
        <v>552</v>
      </c>
    </row>
    <row r="1115" spans="3:4">
      <c r="C1115" s="3" t="s">
        <v>1286</v>
      </c>
      <c r="D1115">
        <v>544</v>
      </c>
    </row>
    <row r="1116" spans="3:4">
      <c r="C1116" s="3" t="s">
        <v>1287</v>
      </c>
      <c r="D1116">
        <v>120</v>
      </c>
    </row>
    <row r="1117" spans="3:4">
      <c r="C1117" s="3" t="s">
        <v>1288</v>
      </c>
      <c r="D1117">
        <v>29</v>
      </c>
    </row>
    <row r="1118" spans="3:4">
      <c r="C1118" s="3" t="s">
        <v>1289</v>
      </c>
      <c r="D1118">
        <v>100</v>
      </c>
    </row>
    <row r="1119" spans="3:4">
      <c r="C1119" s="3" t="s">
        <v>1290</v>
      </c>
      <c r="D1119">
        <v>472</v>
      </c>
    </row>
    <row r="1120" spans="3:4">
      <c r="C1120" s="3" t="s">
        <v>1291</v>
      </c>
      <c r="D1120">
        <v>46</v>
      </c>
    </row>
    <row r="1121" spans="3:4">
      <c r="C1121" s="3" t="s">
        <v>1292</v>
      </c>
      <c r="D1121">
        <v>408</v>
      </c>
    </row>
    <row r="1122" spans="3:4">
      <c r="C1122" s="3" t="s">
        <v>1293</v>
      </c>
      <c r="D1122">
        <v>4</v>
      </c>
    </row>
    <row r="1123" spans="3:4">
      <c r="C1123" s="3" t="s">
        <v>1294</v>
      </c>
      <c r="D1123">
        <v>26</v>
      </c>
    </row>
    <row r="1124" spans="3:4">
      <c r="C1124" s="3" t="s">
        <v>1295</v>
      </c>
      <c r="D1124">
        <v>238</v>
      </c>
    </row>
    <row r="1125" spans="3:4">
      <c r="C1125" s="3" t="s">
        <v>1296</v>
      </c>
      <c r="D1125">
        <v>387</v>
      </c>
    </row>
    <row r="1126" spans="3:4">
      <c r="C1126" s="3" t="s">
        <v>1297</v>
      </c>
      <c r="D1126">
        <v>315</v>
      </c>
    </row>
    <row r="1127" spans="3:4">
      <c r="C1127" s="3" t="s">
        <v>1298</v>
      </c>
      <c r="D1127">
        <v>591</v>
      </c>
    </row>
    <row r="1128" spans="3:4">
      <c r="C1128" s="3" t="s">
        <v>1299</v>
      </c>
      <c r="D1128">
        <v>556</v>
      </c>
    </row>
    <row r="1129" spans="3:4">
      <c r="C1129" s="3" t="s">
        <v>1300</v>
      </c>
      <c r="D1129">
        <v>193</v>
      </c>
    </row>
    <row r="1130" spans="3:4">
      <c r="C1130" s="3" t="s">
        <v>1301</v>
      </c>
      <c r="D1130">
        <v>139</v>
      </c>
    </row>
    <row r="1131" spans="3:4">
      <c r="C1131" s="3" t="s">
        <v>1302</v>
      </c>
      <c r="D1131">
        <v>416</v>
      </c>
    </row>
    <row r="1132" spans="3:4">
      <c r="C1132" s="3" t="s">
        <v>1303</v>
      </c>
      <c r="D1132">
        <v>115</v>
      </c>
    </row>
    <row r="1133" spans="3:4">
      <c r="C1133" s="3" t="s">
        <v>1304</v>
      </c>
      <c r="D1133">
        <v>485</v>
      </c>
    </row>
    <row r="1134" spans="3:4">
      <c r="C1134" s="3" t="s">
        <v>1305</v>
      </c>
      <c r="D1134">
        <v>643</v>
      </c>
    </row>
    <row r="1135" spans="3:4">
      <c r="C1135" s="3" t="s">
        <v>1306</v>
      </c>
      <c r="D1135">
        <v>298</v>
      </c>
    </row>
    <row r="1136" spans="3:4">
      <c r="C1136" s="3" t="s">
        <v>1307</v>
      </c>
      <c r="D1136">
        <v>323</v>
      </c>
    </row>
    <row r="1137" spans="3:4">
      <c r="C1137" s="3" t="s">
        <v>1308</v>
      </c>
      <c r="D1137">
        <v>169</v>
      </c>
    </row>
    <row r="1138" spans="3:4">
      <c r="C1138" s="3" t="s">
        <v>1309</v>
      </c>
      <c r="D1138">
        <v>57</v>
      </c>
    </row>
    <row r="1139" spans="3:4">
      <c r="C1139" s="3" t="s">
        <v>1310</v>
      </c>
      <c r="D1139">
        <v>211</v>
      </c>
    </row>
    <row r="1140" spans="3:4">
      <c r="C1140" s="3" t="s">
        <v>1311</v>
      </c>
      <c r="D1140">
        <v>202</v>
      </c>
    </row>
    <row r="1141" spans="3:4">
      <c r="C1141" s="3" t="s">
        <v>1312</v>
      </c>
      <c r="D1141">
        <v>213</v>
      </c>
    </row>
    <row r="1142" spans="3:4">
      <c r="C1142" s="3" t="s">
        <v>1313</v>
      </c>
      <c r="D1142">
        <v>215</v>
      </c>
    </row>
    <row r="1143" spans="3:4">
      <c r="C1143" s="3" t="s">
        <v>1314</v>
      </c>
      <c r="D1143">
        <v>111</v>
      </c>
    </row>
    <row r="1144" spans="3:4">
      <c r="C1144" s="3" t="s">
        <v>1315</v>
      </c>
      <c r="D1144">
        <v>638</v>
      </c>
    </row>
    <row r="1145" spans="3:4">
      <c r="C1145" s="3" t="s">
        <v>1316</v>
      </c>
      <c r="D1145">
        <v>369</v>
      </c>
    </row>
    <row r="1146" spans="3:4">
      <c r="C1146" s="3" t="s">
        <v>1317</v>
      </c>
      <c r="D1146">
        <v>536</v>
      </c>
    </row>
    <row r="1147" spans="3:4">
      <c r="C1147" s="3" t="s">
        <v>1318</v>
      </c>
      <c r="D1147">
        <v>399</v>
      </c>
    </row>
    <row r="1148" spans="3:4">
      <c r="C1148" s="3" t="s">
        <v>1319</v>
      </c>
      <c r="D1148">
        <v>597</v>
      </c>
    </row>
    <row r="1149" spans="3:4">
      <c r="C1149" s="3" t="s">
        <v>1320</v>
      </c>
      <c r="D1149">
        <v>328</v>
      </c>
    </row>
    <row r="1150" spans="3:4">
      <c r="C1150" s="3" t="s">
        <v>1321</v>
      </c>
      <c r="D1150">
        <v>219</v>
      </c>
    </row>
    <row r="1151" spans="3:4">
      <c r="C1151" s="3" t="s">
        <v>1322</v>
      </c>
      <c r="D1151">
        <v>99</v>
      </c>
    </row>
    <row r="1152" spans="3:4">
      <c r="C1152" s="3" t="s">
        <v>1323</v>
      </c>
      <c r="D1152">
        <v>649</v>
      </c>
    </row>
    <row r="1153" spans="3:4">
      <c r="C1153" s="3" t="s">
        <v>1324</v>
      </c>
      <c r="D1153">
        <v>79</v>
      </c>
    </row>
    <row r="1154" spans="3:4">
      <c r="C1154" s="3" t="s">
        <v>1325</v>
      </c>
      <c r="D1154">
        <v>259</v>
      </c>
    </row>
    <row r="1155" spans="3:4">
      <c r="C1155" s="3" t="s">
        <v>1326</v>
      </c>
      <c r="D1155">
        <v>340</v>
      </c>
    </row>
    <row r="1156" spans="3:4">
      <c r="C1156" s="3" t="s">
        <v>1327</v>
      </c>
      <c r="D1156">
        <v>339</v>
      </c>
    </row>
    <row r="1157" spans="3:4">
      <c r="C1157" s="3" t="s">
        <v>1328</v>
      </c>
      <c r="D1157">
        <v>266</v>
      </c>
    </row>
    <row r="1158" spans="3:4">
      <c r="C1158" s="3" t="s">
        <v>1329</v>
      </c>
      <c r="D1158">
        <v>654</v>
      </c>
    </row>
    <row r="1159" spans="3:4">
      <c r="C1159" s="3" t="s">
        <v>1330</v>
      </c>
      <c r="D1159">
        <v>241</v>
      </c>
    </row>
    <row r="1160" spans="3:4">
      <c r="C1160" s="3" t="s">
        <v>1331</v>
      </c>
      <c r="D1160">
        <v>448</v>
      </c>
    </row>
    <row r="1161" spans="3:4">
      <c r="C1161" s="3" t="s">
        <v>1332</v>
      </c>
      <c r="D1161">
        <v>263</v>
      </c>
    </row>
    <row r="1162" spans="3:4">
      <c r="C1162" s="3" t="s">
        <v>1333</v>
      </c>
      <c r="D1162">
        <v>8</v>
      </c>
    </row>
    <row r="1163" spans="3:4">
      <c r="C1163" s="3" t="s">
        <v>1334</v>
      </c>
      <c r="D1163">
        <v>609</v>
      </c>
    </row>
    <row r="1164" spans="3:4">
      <c r="C1164" s="3" t="s">
        <v>1335</v>
      </c>
      <c r="D1164">
        <v>534</v>
      </c>
    </row>
    <row r="1165" spans="3:4">
      <c r="C1165" s="3" t="s">
        <v>1336</v>
      </c>
      <c r="D1165">
        <v>243</v>
      </c>
    </row>
    <row r="1166" spans="3:4">
      <c r="C1166" s="3" t="s">
        <v>1337</v>
      </c>
      <c r="D1166">
        <v>629</v>
      </c>
    </row>
    <row r="1167" spans="3:4">
      <c r="C1167" s="3" t="s">
        <v>1338</v>
      </c>
      <c r="D1167">
        <v>36</v>
      </c>
    </row>
    <row r="1168" spans="3:4">
      <c r="C1168" s="3" t="s">
        <v>1339</v>
      </c>
      <c r="D1168">
        <v>398</v>
      </c>
    </row>
    <row r="1169" spans="3:4">
      <c r="C1169" s="3" t="s">
        <v>1340</v>
      </c>
      <c r="D1169">
        <v>372</v>
      </c>
    </row>
    <row r="1170" spans="3:4">
      <c r="C1170" s="3" t="s">
        <v>1341</v>
      </c>
      <c r="D1170">
        <v>403</v>
      </c>
    </row>
    <row r="1171" spans="3:4">
      <c r="C1171" s="3" t="s">
        <v>1342</v>
      </c>
      <c r="D1171">
        <v>514</v>
      </c>
    </row>
    <row r="1172" spans="3:4">
      <c r="C1172" s="3" t="s">
        <v>1343</v>
      </c>
      <c r="D1172">
        <v>797</v>
      </c>
    </row>
    <row r="1173" spans="3:4">
      <c r="C1173" s="3" t="s">
        <v>1344</v>
      </c>
      <c r="D1173">
        <v>117</v>
      </c>
    </row>
    <row r="1174" spans="3:4">
      <c r="C1174" s="3" t="s">
        <v>1345</v>
      </c>
      <c r="D1174">
        <v>286</v>
      </c>
    </row>
    <row r="1175" spans="3:4">
      <c r="C1175" s="3" t="s">
        <v>1346</v>
      </c>
      <c r="D1175">
        <v>614</v>
      </c>
    </row>
    <row r="1176" spans="3:4">
      <c r="C1176" s="3" t="s">
        <v>1347</v>
      </c>
      <c r="D1176">
        <v>309</v>
      </c>
    </row>
    <row r="1177" spans="3:4">
      <c r="C1177" s="3" t="s">
        <v>1348</v>
      </c>
      <c r="D1177">
        <v>982</v>
      </c>
    </row>
    <row r="1178" spans="3:4">
      <c r="C1178" s="3" t="s">
        <v>1349</v>
      </c>
      <c r="D1178">
        <v>288</v>
      </c>
    </row>
    <row r="1179" spans="3:4">
      <c r="C1179" s="3" t="s">
        <v>1350</v>
      </c>
      <c r="D1179">
        <v>588</v>
      </c>
    </row>
    <row r="1180" spans="3:4">
      <c r="C1180" s="3" t="s">
        <v>1351</v>
      </c>
      <c r="D1180">
        <v>303</v>
      </c>
    </row>
    <row r="1181" spans="3:4">
      <c r="C1181" s="3" t="s">
        <v>1352</v>
      </c>
      <c r="D1181">
        <v>11</v>
      </c>
    </row>
    <row r="1182" spans="3:4">
      <c r="C1182" s="3" t="s">
        <v>1353</v>
      </c>
      <c r="D1182">
        <v>10</v>
      </c>
    </row>
    <row r="1183" spans="3:4">
      <c r="C1183" s="3" t="s">
        <v>1354</v>
      </c>
      <c r="D1183">
        <v>518</v>
      </c>
    </row>
    <row r="1184" spans="3:4">
      <c r="C1184" s="3" t="s">
        <v>1355</v>
      </c>
      <c r="D1184">
        <v>471</v>
      </c>
    </row>
    <row r="1185" spans="3:4">
      <c r="C1185" s="3" t="s">
        <v>1356</v>
      </c>
      <c r="D1185">
        <v>306</v>
      </c>
    </row>
    <row r="1186" spans="3:4">
      <c r="C1186" s="3" t="s">
        <v>1357</v>
      </c>
      <c r="D1186">
        <v>606</v>
      </c>
    </row>
    <row r="1187" spans="3:4">
      <c r="C1187" s="3" t="s">
        <v>1358</v>
      </c>
      <c r="D1187">
        <v>161</v>
      </c>
    </row>
    <row r="1188" spans="3:4">
      <c r="C1188" s="3" t="s">
        <v>1359</v>
      </c>
      <c r="D1188">
        <v>245</v>
      </c>
    </row>
    <row r="1189" spans="3:4">
      <c r="C1189" s="3" t="s">
        <v>1360</v>
      </c>
      <c r="D1189">
        <v>25</v>
      </c>
    </row>
    <row r="1190" spans="3:4">
      <c r="C1190" s="3" t="s">
        <v>1361</v>
      </c>
      <c r="D1190">
        <v>523</v>
      </c>
    </row>
    <row r="1191" spans="3:4">
      <c r="C1191" s="3" t="s">
        <v>1362</v>
      </c>
      <c r="D1191">
        <v>62</v>
      </c>
    </row>
    <row r="1192" spans="3:4">
      <c r="C1192" s="3" t="s">
        <v>1363</v>
      </c>
      <c r="D1192">
        <v>199</v>
      </c>
    </row>
    <row r="1193" spans="3:4">
      <c r="C1193" s="3" t="s">
        <v>1364</v>
      </c>
      <c r="D1193">
        <v>714</v>
      </c>
    </row>
    <row r="1194" spans="3:4">
      <c r="C1194" s="3" t="s">
        <v>1365</v>
      </c>
      <c r="D1194">
        <v>574</v>
      </c>
    </row>
    <row r="1195" spans="3:4">
      <c r="C1195" s="3" t="s">
        <v>1366</v>
      </c>
      <c r="D1195">
        <v>457</v>
      </c>
    </row>
    <row r="1196" spans="3:4">
      <c r="C1196" s="3" t="s">
        <v>1367</v>
      </c>
      <c r="D1196">
        <v>63</v>
      </c>
    </row>
    <row r="1197" spans="3:4">
      <c r="C1197" s="3" t="s">
        <v>1368</v>
      </c>
      <c r="D1197">
        <v>646</v>
      </c>
    </row>
    <row r="1198" spans="3:4">
      <c r="C1198" s="3" t="s">
        <v>1369</v>
      </c>
      <c r="D1198">
        <v>250</v>
      </c>
    </row>
    <row r="1199" spans="3:4">
      <c r="C1199" s="3" t="s">
        <v>1370</v>
      </c>
      <c r="D1199">
        <v>118</v>
      </c>
    </row>
    <row r="1200" spans="3:4">
      <c r="C1200" s="3" t="s">
        <v>1371</v>
      </c>
      <c r="D1200">
        <v>469</v>
      </c>
    </row>
    <row r="1201" spans="3:4">
      <c r="C1201" s="3" t="s">
        <v>1372</v>
      </c>
      <c r="D1201">
        <v>290</v>
      </c>
    </row>
    <row r="1202" spans="3:4">
      <c r="C1202" s="3" t="s">
        <v>1373</v>
      </c>
      <c r="D1202">
        <v>225</v>
      </c>
    </row>
    <row r="1203" spans="3:4">
      <c r="C1203" s="3" t="s">
        <v>1374</v>
      </c>
      <c r="D1203">
        <v>593</v>
      </c>
    </row>
    <row r="1204" spans="3:4">
      <c r="C1204" s="3" t="s">
        <v>1375</v>
      </c>
      <c r="D1204">
        <v>236</v>
      </c>
    </row>
    <row r="1205" spans="3:4">
      <c r="C1205" s="3" t="s">
        <v>1376</v>
      </c>
      <c r="D1205">
        <v>464</v>
      </c>
    </row>
    <row r="1206" spans="3:4">
      <c r="C1206" s="3" t="s">
        <v>1377</v>
      </c>
      <c r="D1206">
        <v>291</v>
      </c>
    </row>
    <row r="1207" spans="3:4">
      <c r="C1207" s="3" t="s">
        <v>1378</v>
      </c>
      <c r="D1207">
        <v>396</v>
      </c>
    </row>
    <row r="1208" spans="3:4">
      <c r="C1208" s="3" t="s">
        <v>1379</v>
      </c>
      <c r="D1208">
        <v>558</v>
      </c>
    </row>
    <row r="1209" spans="3:4">
      <c r="C1209" s="3" t="s">
        <v>1380</v>
      </c>
      <c r="D1209">
        <v>33</v>
      </c>
    </row>
    <row r="1210" spans="3:4">
      <c r="C1210" s="3" t="s">
        <v>1381</v>
      </c>
      <c r="D1210">
        <v>188</v>
      </c>
    </row>
    <row r="1211" spans="3:4">
      <c r="C1211" s="3" t="s">
        <v>1382</v>
      </c>
      <c r="D1211">
        <v>652</v>
      </c>
    </row>
    <row r="1212" spans="3:4">
      <c r="C1212" s="3" t="s">
        <v>1383</v>
      </c>
      <c r="D1212">
        <v>423</v>
      </c>
    </row>
    <row r="1213" spans="3:4">
      <c r="C1213" s="3" t="s">
        <v>1384</v>
      </c>
      <c r="D1213">
        <v>499</v>
      </c>
    </row>
    <row r="1214" spans="3:4">
      <c r="C1214" s="3" t="s">
        <v>1385</v>
      </c>
      <c r="D1214">
        <v>12</v>
      </c>
    </row>
    <row r="1215" spans="3:4">
      <c r="C1215" s="3" t="s">
        <v>1386</v>
      </c>
      <c r="D1215">
        <v>515</v>
      </c>
    </row>
    <row r="1216" spans="3:4">
      <c r="C1216" s="3" t="s">
        <v>1387</v>
      </c>
      <c r="D1216">
        <v>67</v>
      </c>
    </row>
    <row r="1217" spans="3:4">
      <c r="C1217" s="3" t="s">
        <v>1388</v>
      </c>
      <c r="D1217">
        <v>119</v>
      </c>
    </row>
    <row r="1218" spans="3:4">
      <c r="C1218" s="3" t="s">
        <v>1389</v>
      </c>
      <c r="D1218">
        <v>529</v>
      </c>
    </row>
    <row r="1219" spans="3:4">
      <c r="C1219" s="3" t="s">
        <v>1390</v>
      </c>
      <c r="D1219">
        <v>779</v>
      </c>
    </row>
    <row r="1220" spans="3:4">
      <c r="C1220" s="3" t="s">
        <v>1391</v>
      </c>
      <c r="D1220">
        <v>389</v>
      </c>
    </row>
    <row r="1221" spans="3:4">
      <c r="C1221" s="3" t="s">
        <v>1392</v>
      </c>
      <c r="D1221">
        <v>94</v>
      </c>
    </row>
    <row r="1222" spans="3:4">
      <c r="C1222" s="3" t="s">
        <v>1393</v>
      </c>
      <c r="D1222">
        <v>741</v>
      </c>
    </row>
    <row r="1223" spans="3:4">
      <c r="C1223" s="3" t="s">
        <v>1394</v>
      </c>
      <c r="D1223">
        <v>362</v>
      </c>
    </row>
    <row r="1224" spans="3:4">
      <c r="C1224" s="3" t="s">
        <v>1395</v>
      </c>
      <c r="D1224">
        <v>60</v>
      </c>
    </row>
    <row r="1225" spans="3:4">
      <c r="C1225" s="3" t="s">
        <v>1396</v>
      </c>
      <c r="D1225">
        <v>426</v>
      </c>
    </row>
    <row r="1226" spans="3:4">
      <c r="C1226" s="3" t="s">
        <v>1397</v>
      </c>
      <c r="D1226">
        <v>1152</v>
      </c>
    </row>
    <row r="1227" spans="3:4">
      <c r="C1227" s="3" t="s">
        <v>1398</v>
      </c>
      <c r="D1227">
        <v>564</v>
      </c>
    </row>
    <row r="1228" spans="3:4">
      <c r="C1228" s="3" t="s">
        <v>1399</v>
      </c>
      <c r="D1228">
        <v>548</v>
      </c>
    </row>
    <row r="1229" spans="3:4">
      <c r="C1229" s="3" t="s">
        <v>1400</v>
      </c>
      <c r="D1229">
        <v>653</v>
      </c>
    </row>
    <row r="1230" spans="3:4">
      <c r="C1230" s="3" t="s">
        <v>1401</v>
      </c>
      <c r="D1230">
        <v>190</v>
      </c>
    </row>
    <row r="1231" spans="3:4">
      <c r="C1231" s="3" t="s">
        <v>1402</v>
      </c>
      <c r="D1231">
        <v>181</v>
      </c>
    </row>
    <row r="1232" spans="3:4">
      <c r="C1232" s="3" t="s">
        <v>1403</v>
      </c>
      <c r="D1232">
        <v>276</v>
      </c>
    </row>
    <row r="1233" spans="3:4">
      <c r="C1233" s="3" t="s">
        <v>1404</v>
      </c>
      <c r="D1233">
        <v>467</v>
      </c>
    </row>
    <row r="1234" spans="3:4">
      <c r="C1234" s="3" t="s">
        <v>1405</v>
      </c>
      <c r="D1234">
        <v>255</v>
      </c>
    </row>
    <row r="1235" spans="3:4">
      <c r="C1235" s="3" t="s">
        <v>1406</v>
      </c>
      <c r="D1235">
        <v>207</v>
      </c>
    </row>
    <row r="1236" spans="3:4">
      <c r="C1236" s="3" t="s">
        <v>1407</v>
      </c>
      <c r="D1236">
        <v>324</v>
      </c>
    </row>
    <row r="1237" spans="3:4">
      <c r="C1237" s="3" t="s">
        <v>1408</v>
      </c>
      <c r="D1237">
        <v>326</v>
      </c>
    </row>
    <row r="1238" spans="3:4">
      <c r="C1238" s="3" t="s">
        <v>1409</v>
      </c>
      <c r="D1238">
        <v>459</v>
      </c>
    </row>
    <row r="1239" spans="3:4">
      <c r="C1239" s="3" t="s">
        <v>1410</v>
      </c>
      <c r="D1239">
        <v>476</v>
      </c>
    </row>
    <row r="1240" spans="3:4">
      <c r="C1240" s="3" t="s">
        <v>1411</v>
      </c>
      <c r="D1240">
        <v>673</v>
      </c>
    </row>
    <row r="1241" spans="3:4">
      <c r="C1241" s="3" t="s">
        <v>1412</v>
      </c>
      <c r="D1241">
        <v>282</v>
      </c>
    </row>
    <row r="1242" spans="3:4">
      <c r="C1242" s="3" t="s">
        <v>1413</v>
      </c>
      <c r="D1242">
        <v>537</v>
      </c>
    </row>
    <row r="1243" spans="3:4">
      <c r="C1243" s="3" t="s">
        <v>1414</v>
      </c>
      <c r="D1243">
        <v>688</v>
      </c>
    </row>
    <row r="1244" spans="3:4">
      <c r="C1244" s="3" t="s">
        <v>1415</v>
      </c>
      <c r="D1244">
        <v>187</v>
      </c>
    </row>
    <row r="1245" spans="3:4">
      <c r="C1245" s="3" t="s">
        <v>1416</v>
      </c>
      <c r="D1245">
        <v>627</v>
      </c>
    </row>
    <row r="1246" spans="3:4">
      <c r="C1246" s="3" t="s">
        <v>1417</v>
      </c>
      <c r="D1246">
        <v>628</v>
      </c>
    </row>
    <row r="1247" spans="3:4">
      <c r="C1247" s="3" t="s">
        <v>1418</v>
      </c>
      <c r="D1247">
        <v>432</v>
      </c>
    </row>
    <row r="1248" spans="3:4">
      <c r="C1248" s="3" t="s">
        <v>1419</v>
      </c>
      <c r="D1248">
        <v>648</v>
      </c>
    </row>
    <row r="1249" spans="3:4">
      <c r="C1249" s="3" t="s">
        <v>1420</v>
      </c>
      <c r="D1249">
        <v>375</v>
      </c>
    </row>
    <row r="1250" spans="3:4">
      <c r="C1250" s="3" t="s">
        <v>1421</v>
      </c>
      <c r="D1250">
        <v>401</v>
      </c>
    </row>
    <row r="1251" spans="3:4">
      <c r="C1251" s="3" t="s">
        <v>1422</v>
      </c>
      <c r="D1251">
        <v>6</v>
      </c>
    </row>
    <row r="1252" spans="3:4">
      <c r="C1252" s="3" t="s">
        <v>1423</v>
      </c>
      <c r="D1252">
        <v>522</v>
      </c>
    </row>
    <row r="1253" spans="3:4">
      <c r="C1253" s="3" t="s">
        <v>1424</v>
      </c>
      <c r="D1253">
        <v>68</v>
      </c>
    </row>
    <row r="1254" spans="3:4">
      <c r="C1254" s="3" t="s">
        <v>1425</v>
      </c>
      <c r="D1254">
        <v>644</v>
      </c>
    </row>
    <row r="1255" spans="3:4">
      <c r="C1255" s="3" t="s">
        <v>1426</v>
      </c>
      <c r="D1255">
        <v>175</v>
      </c>
    </row>
    <row r="1256" spans="3:4">
      <c r="C1256" s="3" t="s">
        <v>1427</v>
      </c>
      <c r="D1256">
        <v>460</v>
      </c>
    </row>
    <row r="1257" spans="3:4">
      <c r="C1257" s="3" t="s">
        <v>1428</v>
      </c>
      <c r="D1257">
        <v>349</v>
      </c>
    </row>
    <row r="1258" spans="3:4">
      <c r="C1258" s="3" t="s">
        <v>1429</v>
      </c>
      <c r="D1258">
        <v>347</v>
      </c>
    </row>
    <row r="1259" spans="3:4">
      <c r="C1259" s="3" t="s">
        <v>1430</v>
      </c>
      <c r="D1259">
        <v>429</v>
      </c>
    </row>
    <row r="1260" spans="3:4">
      <c r="C1260" s="3" t="s">
        <v>1431</v>
      </c>
      <c r="D1260">
        <v>2</v>
      </c>
    </row>
    <row r="1261" spans="3:4">
      <c r="C1261" s="3" t="s">
        <v>1432</v>
      </c>
      <c r="D1261">
        <v>677</v>
      </c>
    </row>
    <row r="1262" spans="3:4">
      <c r="C1262" s="3" t="s">
        <v>1433</v>
      </c>
      <c r="D1262">
        <v>148</v>
      </c>
    </row>
    <row r="1263" spans="3:4">
      <c r="C1263" s="3" t="s">
        <v>1434</v>
      </c>
      <c r="D1263">
        <v>191</v>
      </c>
    </row>
    <row r="1264" spans="3:4">
      <c r="C1264" s="3" t="s">
        <v>1435</v>
      </c>
      <c r="D1264">
        <v>639</v>
      </c>
    </row>
    <row r="1265" spans="3:4">
      <c r="C1265" s="3" t="s">
        <v>1436</v>
      </c>
      <c r="D1265">
        <v>650</v>
      </c>
    </row>
    <row r="1266" spans="3:4">
      <c r="C1266" s="3" t="s">
        <v>1437</v>
      </c>
      <c r="D1266">
        <v>216</v>
      </c>
    </row>
    <row r="1267" spans="3:4">
      <c r="C1267" s="3" t="s">
        <v>1438</v>
      </c>
      <c r="D1267">
        <v>578</v>
      </c>
    </row>
    <row r="1268" spans="3:4">
      <c r="C1268" s="3" t="s">
        <v>1439</v>
      </c>
      <c r="D1268">
        <v>411</v>
      </c>
    </row>
    <row r="1269" spans="3:4">
      <c r="C1269" s="3" t="s">
        <v>1440</v>
      </c>
      <c r="D1269">
        <v>452</v>
      </c>
    </row>
    <row r="1270" spans="3:4">
      <c r="C1270" s="3" t="s">
        <v>1441</v>
      </c>
      <c r="D1270">
        <v>352</v>
      </c>
    </row>
    <row r="1271" spans="3:4">
      <c r="C1271" s="3" t="s">
        <v>1442</v>
      </c>
      <c r="D1271">
        <v>86</v>
      </c>
    </row>
    <row r="1272" spans="3:4">
      <c r="C1272" s="3" t="s">
        <v>1443</v>
      </c>
      <c r="D1272">
        <v>619</v>
      </c>
    </row>
    <row r="1273" spans="3:4">
      <c r="C1273" s="3" t="s">
        <v>1444</v>
      </c>
      <c r="D1273">
        <v>44</v>
      </c>
    </row>
    <row r="1274" spans="3:4">
      <c r="C1274" s="3" t="s">
        <v>1445</v>
      </c>
      <c r="D1274">
        <v>660</v>
      </c>
    </row>
    <row r="1275" spans="3:4">
      <c r="C1275" s="3" t="s">
        <v>1446</v>
      </c>
      <c r="D1275">
        <v>607</v>
      </c>
    </row>
    <row r="1276" spans="3:4">
      <c r="C1276" s="3" t="s">
        <v>1447</v>
      </c>
      <c r="D1276">
        <v>662</v>
      </c>
    </row>
    <row r="1277" spans="3:4">
      <c r="C1277" s="3" t="s">
        <v>1448</v>
      </c>
      <c r="D1277">
        <v>473</v>
      </c>
    </row>
    <row r="1278" spans="3:4">
      <c r="C1278" s="3" t="s">
        <v>1449</v>
      </c>
      <c r="D1278">
        <v>176</v>
      </c>
    </row>
    <row r="1279" spans="3:4">
      <c r="C1279" s="3" t="s">
        <v>1450</v>
      </c>
      <c r="D1279">
        <v>404</v>
      </c>
    </row>
    <row r="1280" spans="3:4">
      <c r="C1280" s="3" t="s">
        <v>1451</v>
      </c>
      <c r="D1280">
        <v>311</v>
      </c>
    </row>
    <row r="1281" spans="3:4">
      <c r="C1281" s="3" t="s">
        <v>1452</v>
      </c>
      <c r="D1281">
        <v>579</v>
      </c>
    </row>
    <row r="1282" spans="3:4">
      <c r="C1282" s="3" t="s">
        <v>1453</v>
      </c>
      <c r="D1282">
        <v>453</v>
      </c>
    </row>
    <row r="1283" spans="3:4">
      <c r="C1283" s="3" t="s">
        <v>1454</v>
      </c>
      <c r="D1283">
        <v>450</v>
      </c>
    </row>
    <row r="1284" spans="3:4">
      <c r="C1284" s="3" t="s">
        <v>1455</v>
      </c>
      <c r="D1284">
        <v>641</v>
      </c>
    </row>
    <row r="1285" spans="3:4">
      <c r="C1285" s="3" t="s">
        <v>1456</v>
      </c>
      <c r="D1285">
        <v>581</v>
      </c>
    </row>
    <row r="1286" spans="3:4">
      <c r="C1286" s="3" t="s">
        <v>1457</v>
      </c>
      <c r="D1286">
        <v>104</v>
      </c>
    </row>
    <row r="1287" spans="3:4">
      <c r="C1287" s="3" t="s">
        <v>1458</v>
      </c>
      <c r="D1287">
        <v>531</v>
      </c>
    </row>
    <row r="1288" spans="3:4">
      <c r="C1288" s="3" t="s">
        <v>1459</v>
      </c>
      <c r="D1288">
        <v>30</v>
      </c>
    </row>
    <row r="1289" spans="3:4">
      <c r="C1289" s="3" t="s">
        <v>1460</v>
      </c>
      <c r="D1289">
        <v>334</v>
      </c>
    </row>
    <row r="1290" spans="3:4">
      <c r="C1290" s="3" t="s">
        <v>1461</v>
      </c>
      <c r="D1290">
        <v>277</v>
      </c>
    </row>
    <row r="1291" spans="3:4">
      <c r="C1291" s="3" t="s">
        <v>1462</v>
      </c>
      <c r="D1291">
        <v>28</v>
      </c>
    </row>
    <row r="1292" spans="3:4">
      <c r="C1292" s="3" t="s">
        <v>1463</v>
      </c>
      <c r="D1292">
        <v>174</v>
      </c>
    </row>
    <row r="1293" spans="3:4">
      <c r="C1293" s="3" t="s">
        <v>1464</v>
      </c>
      <c r="D1293">
        <v>402</v>
      </c>
    </row>
    <row r="1294" spans="3:4">
      <c r="C1294" s="3" t="s">
        <v>1465</v>
      </c>
      <c r="D1294">
        <v>546</v>
      </c>
    </row>
    <row r="1295" spans="3:4">
      <c r="C1295" s="3" t="s">
        <v>1466</v>
      </c>
      <c r="D1295">
        <v>267</v>
      </c>
    </row>
    <row r="1296" spans="3:4">
      <c r="C1296" s="3" t="s">
        <v>1467</v>
      </c>
      <c r="D1296">
        <v>559</v>
      </c>
    </row>
    <row r="1297" spans="3:4">
      <c r="C1297" s="3" t="s">
        <v>1468</v>
      </c>
      <c r="D1297">
        <v>611</v>
      </c>
    </row>
    <row r="1298" spans="3:4">
      <c r="C1298" s="3" t="s">
        <v>1469</v>
      </c>
      <c r="D1298">
        <v>455</v>
      </c>
    </row>
    <row r="1299" spans="3:4">
      <c r="C1299" s="3" t="s">
        <v>1470</v>
      </c>
      <c r="D1299">
        <v>108</v>
      </c>
    </row>
    <row r="1300" spans="3:4">
      <c r="C1300" s="3" t="s">
        <v>1471</v>
      </c>
      <c r="D1300">
        <v>633</v>
      </c>
    </row>
    <row r="1301" spans="3:4">
      <c r="C1301" s="3" t="s">
        <v>1472</v>
      </c>
      <c r="D1301">
        <v>428</v>
      </c>
    </row>
    <row r="1302" spans="3:4">
      <c r="C1302" s="3" t="s">
        <v>1473</v>
      </c>
      <c r="D1302">
        <v>138</v>
      </c>
    </row>
    <row r="1303" spans="3:4">
      <c r="C1303" s="3" t="s">
        <v>1474</v>
      </c>
      <c r="D1303">
        <v>80</v>
      </c>
    </row>
    <row r="1304" spans="3:4">
      <c r="C1304" s="3" t="s">
        <v>1475</v>
      </c>
      <c r="D1304">
        <v>233</v>
      </c>
    </row>
    <row r="1305" spans="3:4">
      <c r="C1305" s="3" t="s">
        <v>1476</v>
      </c>
      <c r="D1305">
        <v>345</v>
      </c>
    </row>
    <row r="1306" spans="3:4">
      <c r="C1306" s="3" t="s">
        <v>1477</v>
      </c>
      <c r="D1306">
        <v>346</v>
      </c>
    </row>
    <row r="1307" spans="3:4">
      <c r="C1307" s="3" t="s">
        <v>1478</v>
      </c>
      <c r="D1307">
        <v>338</v>
      </c>
    </row>
    <row r="1308" spans="3:4">
      <c r="C1308" s="3" t="s">
        <v>1479</v>
      </c>
      <c r="D1308">
        <v>506</v>
      </c>
    </row>
    <row r="1309" spans="3:4">
      <c r="C1309" s="3" t="s">
        <v>1480</v>
      </c>
      <c r="D1309">
        <v>13</v>
      </c>
    </row>
    <row r="1310" spans="3:4">
      <c r="C1310" s="3" t="s">
        <v>1481</v>
      </c>
      <c r="D1310">
        <v>93</v>
      </c>
    </row>
    <row r="1311" spans="3:4">
      <c r="C1311" s="3" t="s">
        <v>1482</v>
      </c>
      <c r="D1311">
        <v>507</v>
      </c>
    </row>
    <row r="1312" spans="3:4">
      <c r="C1312" s="3" t="s">
        <v>1483</v>
      </c>
      <c r="D1312">
        <v>675</v>
      </c>
    </row>
    <row r="1313" spans="3:4">
      <c r="C1313" s="3" t="s">
        <v>1484</v>
      </c>
      <c r="D1313">
        <v>23</v>
      </c>
    </row>
    <row r="1314" spans="3:4">
      <c r="C1314" s="3" t="s">
        <v>1485</v>
      </c>
      <c r="D1314">
        <v>598</v>
      </c>
    </row>
    <row r="1315" spans="3:4">
      <c r="C1315" s="3" t="s">
        <v>1486</v>
      </c>
      <c r="D1315">
        <v>49</v>
      </c>
    </row>
    <row r="1316" spans="3:4">
      <c r="C1316" s="3" t="s">
        <v>1487</v>
      </c>
      <c r="D1316">
        <v>178</v>
      </c>
    </row>
    <row r="1317" spans="3:4">
      <c r="C1317" s="3" t="s">
        <v>1488</v>
      </c>
      <c r="D1317">
        <v>144</v>
      </c>
    </row>
    <row r="1318" spans="3:4">
      <c r="C1318" s="3" t="s">
        <v>1489</v>
      </c>
      <c r="D1318">
        <v>159</v>
      </c>
    </row>
    <row r="1319" spans="3:4">
      <c r="C1319" s="3" t="s">
        <v>1490</v>
      </c>
      <c r="D1319">
        <v>37</v>
      </c>
    </row>
    <row r="1320" spans="3:4">
      <c r="C1320" s="3" t="s">
        <v>1491</v>
      </c>
      <c r="D1320">
        <v>587</v>
      </c>
    </row>
    <row r="1321" spans="3:4">
      <c r="C1321" s="3" t="s">
        <v>1492</v>
      </c>
      <c r="D1321">
        <v>230</v>
      </c>
    </row>
    <row r="1322" spans="3:4">
      <c r="C1322" s="3" t="s">
        <v>1493</v>
      </c>
      <c r="D1322">
        <v>300</v>
      </c>
    </row>
    <row r="1323" spans="3:4">
      <c r="C1323" s="3" t="s">
        <v>1494</v>
      </c>
      <c r="D1323">
        <v>305</v>
      </c>
    </row>
    <row r="1324" spans="3:4">
      <c r="C1324" s="3" t="s">
        <v>1495</v>
      </c>
      <c r="D1324">
        <v>513</v>
      </c>
    </row>
    <row r="1325" spans="3:4">
      <c r="C1325" s="3" t="s">
        <v>1496</v>
      </c>
      <c r="D1325">
        <v>173</v>
      </c>
    </row>
    <row r="1326" spans="3:4">
      <c r="C1326" s="3" t="s">
        <v>1497</v>
      </c>
      <c r="D1326">
        <v>361</v>
      </c>
    </row>
    <row r="1327" spans="3:4">
      <c r="C1327" s="3" t="s">
        <v>1498</v>
      </c>
      <c r="D1327">
        <v>249</v>
      </c>
    </row>
    <row r="1328" spans="3:4">
      <c r="C1328" s="3" t="s">
        <v>1499</v>
      </c>
      <c r="D1328">
        <v>663</v>
      </c>
    </row>
    <row r="1329" spans="3:4">
      <c r="C1329" s="3" t="s">
        <v>1500</v>
      </c>
      <c r="D1329">
        <v>474</v>
      </c>
    </row>
    <row r="1330" spans="3:4">
      <c r="C1330" s="3" t="s">
        <v>1501</v>
      </c>
      <c r="D1330">
        <v>560</v>
      </c>
    </row>
    <row r="1331" spans="3:4">
      <c r="C1331" s="3" t="s">
        <v>1502</v>
      </c>
      <c r="D1331">
        <v>124</v>
      </c>
    </row>
    <row r="1332" spans="3:4">
      <c r="C1332" s="3" t="s">
        <v>1503</v>
      </c>
      <c r="D1332">
        <v>417</v>
      </c>
    </row>
    <row r="1333" spans="3:4">
      <c r="C1333" s="3" t="s">
        <v>1504</v>
      </c>
      <c r="D1333">
        <v>155</v>
      </c>
    </row>
    <row r="1334" spans="3:4">
      <c r="C1334" s="3" t="s">
        <v>1505</v>
      </c>
      <c r="D1334">
        <v>194</v>
      </c>
    </row>
    <row r="1335" spans="3:4">
      <c r="C1335" s="3" t="s">
        <v>1506</v>
      </c>
      <c r="D1335">
        <v>114</v>
      </c>
    </row>
    <row r="1336" spans="3:4">
      <c r="C1336" s="3" t="s">
        <v>1507</v>
      </c>
      <c r="D1336">
        <v>445</v>
      </c>
    </row>
    <row r="1337" spans="3:4">
      <c r="C1337" s="3" t="s">
        <v>1508</v>
      </c>
      <c r="D1337">
        <v>201</v>
      </c>
    </row>
    <row r="1338" spans="3:4">
      <c r="C1338" s="3" t="s">
        <v>1509</v>
      </c>
      <c r="D1338">
        <v>378</v>
      </c>
    </row>
    <row r="1339" spans="3:4">
      <c r="C1339" s="3" t="s">
        <v>1510</v>
      </c>
      <c r="D1339">
        <v>320</v>
      </c>
    </row>
    <row r="1340" spans="3:4">
      <c r="C1340" s="3" t="s">
        <v>1511</v>
      </c>
      <c r="D1340">
        <v>667</v>
      </c>
    </row>
    <row r="1341" spans="3:4">
      <c r="C1341" s="3" t="s">
        <v>1512</v>
      </c>
      <c r="D1341">
        <v>110</v>
      </c>
    </row>
    <row r="1342" spans="3:4">
      <c r="C1342" s="3" t="s">
        <v>1513</v>
      </c>
      <c r="D1342">
        <v>431</v>
      </c>
    </row>
    <row r="1343" spans="3:4">
      <c r="C1343" s="3" t="s">
        <v>1514</v>
      </c>
      <c r="D1343">
        <v>659</v>
      </c>
    </row>
    <row r="1344" spans="3:4">
      <c r="C1344" s="3" t="s">
        <v>1515</v>
      </c>
      <c r="D1344">
        <v>583</v>
      </c>
    </row>
    <row r="1345" spans="3:4">
      <c r="C1345" s="3" t="s">
        <v>1516</v>
      </c>
      <c r="D1345">
        <v>480</v>
      </c>
    </row>
    <row r="1346" spans="3:4">
      <c r="C1346" s="3" t="s">
        <v>1517</v>
      </c>
      <c r="D1346">
        <v>74</v>
      </c>
    </row>
    <row r="1347" spans="3:4">
      <c r="C1347" s="3" t="s">
        <v>1518</v>
      </c>
      <c r="D1347">
        <v>48</v>
      </c>
    </row>
    <row r="1348" spans="3:4">
      <c r="C1348" s="3" t="s">
        <v>1519</v>
      </c>
      <c r="D1348">
        <v>77</v>
      </c>
    </row>
    <row r="1349" spans="3:4">
      <c r="C1349" s="3" t="s">
        <v>1520</v>
      </c>
      <c r="D1349">
        <v>367</v>
      </c>
    </row>
    <row r="1350" spans="3:4">
      <c r="C1350" s="3" t="s">
        <v>1521</v>
      </c>
      <c r="D1350">
        <v>240</v>
      </c>
    </row>
    <row r="1351" spans="3:4">
      <c r="C1351" s="3" t="s">
        <v>1522</v>
      </c>
      <c r="D1351">
        <v>622</v>
      </c>
    </row>
    <row r="1352" spans="3:4">
      <c r="C1352" s="3" t="s">
        <v>1523</v>
      </c>
      <c r="D1352">
        <v>359</v>
      </c>
    </row>
    <row r="1353" spans="3:4">
      <c r="C1353" s="3" t="s">
        <v>1524</v>
      </c>
      <c r="D1353">
        <v>43</v>
      </c>
    </row>
    <row r="1354" spans="3:4">
      <c r="C1354" s="3" t="s">
        <v>1525</v>
      </c>
      <c r="D1354">
        <v>440</v>
      </c>
    </row>
    <row r="1355" spans="3:4">
      <c r="C1355" s="3" t="s">
        <v>1526</v>
      </c>
      <c r="D1355">
        <v>424</v>
      </c>
    </row>
    <row r="1356" spans="3:4">
      <c r="C1356" s="3" t="s">
        <v>1527</v>
      </c>
      <c r="D1356">
        <v>265</v>
      </c>
    </row>
    <row r="1357" spans="3:4">
      <c r="C1357" s="3" t="s">
        <v>1528</v>
      </c>
      <c r="D1357">
        <v>616</v>
      </c>
    </row>
    <row r="1358" spans="3:4">
      <c r="C1358" s="3" t="s">
        <v>1529</v>
      </c>
      <c r="D1358">
        <v>88</v>
      </c>
    </row>
    <row r="1359" spans="3:4">
      <c r="C1359" s="3" t="s">
        <v>1530</v>
      </c>
      <c r="D1359">
        <v>195</v>
      </c>
    </row>
    <row r="1360" spans="3:4">
      <c r="C1360" s="3" t="s">
        <v>1531</v>
      </c>
      <c r="D1360">
        <v>615</v>
      </c>
    </row>
    <row r="1361" spans="3:4">
      <c r="C1361" s="3" t="s">
        <v>1532</v>
      </c>
      <c r="D1361">
        <v>75</v>
      </c>
    </row>
    <row r="1362" spans="3:4">
      <c r="C1362" s="3" t="s">
        <v>1533</v>
      </c>
      <c r="D1362">
        <v>47</v>
      </c>
    </row>
    <row r="1363" spans="3:4">
      <c r="C1363" s="3" t="s">
        <v>1534</v>
      </c>
      <c r="D1363">
        <v>623</v>
      </c>
    </row>
    <row r="1364" spans="3:4">
      <c r="C1364" s="3" t="s">
        <v>1535</v>
      </c>
      <c r="D1364">
        <v>299</v>
      </c>
    </row>
    <row r="1365" spans="3:4">
      <c r="C1365" s="3" t="s">
        <v>1536</v>
      </c>
      <c r="D1365">
        <v>177</v>
      </c>
    </row>
    <row r="1366" spans="3:4">
      <c r="C1366" s="3" t="s">
        <v>1537</v>
      </c>
      <c r="D1366">
        <v>626</v>
      </c>
    </row>
    <row r="1367" spans="3:4">
      <c r="C1367" s="3" t="s">
        <v>1538</v>
      </c>
      <c r="D1367">
        <v>357</v>
      </c>
    </row>
    <row r="1368" spans="3:4">
      <c r="C1368" s="3" t="s">
        <v>1539</v>
      </c>
      <c r="D1368">
        <v>503</v>
      </c>
    </row>
    <row r="1369" spans="3:4">
      <c r="C1369" s="3" t="s">
        <v>1540</v>
      </c>
      <c r="D1369">
        <v>272</v>
      </c>
    </row>
    <row r="1370" spans="3:4">
      <c r="C1370" s="3" t="s">
        <v>1541</v>
      </c>
      <c r="D1370">
        <v>21</v>
      </c>
    </row>
    <row r="1371" spans="3:4">
      <c r="C1371" s="3" t="s">
        <v>1542</v>
      </c>
      <c r="D1371">
        <v>412</v>
      </c>
    </row>
    <row r="1372" spans="3:4">
      <c r="C1372" s="3" t="s">
        <v>1543</v>
      </c>
      <c r="D1372">
        <v>533</v>
      </c>
    </row>
    <row r="1373" spans="3:4">
      <c r="C1373" s="3" t="s">
        <v>1544</v>
      </c>
      <c r="D1373">
        <v>164</v>
      </c>
    </row>
    <row r="1374" spans="3:4">
      <c r="C1374" s="3" t="s">
        <v>1545</v>
      </c>
      <c r="D1374">
        <v>356</v>
      </c>
    </row>
    <row r="1375" spans="3:4">
      <c r="C1375" s="3" t="s">
        <v>1546</v>
      </c>
      <c r="D1375">
        <v>289</v>
      </c>
    </row>
    <row r="1376" spans="3:4">
      <c r="C1376" s="3" t="s">
        <v>1547</v>
      </c>
      <c r="D1376">
        <v>438</v>
      </c>
    </row>
    <row r="1377" spans="3:4">
      <c r="C1377" s="3" t="s">
        <v>1548</v>
      </c>
      <c r="D1377">
        <v>17</v>
      </c>
    </row>
    <row r="1378" spans="3:4">
      <c r="C1378" s="3" t="s">
        <v>1549</v>
      </c>
      <c r="D1378">
        <v>270</v>
      </c>
    </row>
    <row r="1379" spans="3:4">
      <c r="C1379" s="3" t="s">
        <v>1550</v>
      </c>
      <c r="D1379">
        <v>562</v>
      </c>
    </row>
    <row r="1380" spans="3:4">
      <c r="C1380" s="3" t="s">
        <v>1551</v>
      </c>
      <c r="D1380">
        <v>384</v>
      </c>
    </row>
    <row r="1381" spans="3:4">
      <c r="C1381" s="3" t="s">
        <v>1552</v>
      </c>
      <c r="D1381">
        <v>568</v>
      </c>
    </row>
    <row r="1382" spans="3:4">
      <c r="C1382" s="3" t="s">
        <v>1553</v>
      </c>
      <c r="D1382">
        <v>685</v>
      </c>
    </row>
    <row r="1383" spans="3:4">
      <c r="C1383" s="3" t="s">
        <v>1554</v>
      </c>
      <c r="D1383">
        <v>71</v>
      </c>
    </row>
    <row r="1384" spans="3:4">
      <c r="C1384" s="3" t="s">
        <v>1555</v>
      </c>
      <c r="D1384">
        <v>419</v>
      </c>
    </row>
    <row r="1385" spans="3:4">
      <c r="C1385" s="3" t="s">
        <v>1556</v>
      </c>
      <c r="D1385">
        <v>244</v>
      </c>
    </row>
    <row r="1386" spans="3:4">
      <c r="C1386" s="3" t="s">
        <v>1557</v>
      </c>
      <c r="D1386">
        <v>363</v>
      </c>
    </row>
    <row r="1387" spans="3:4">
      <c r="C1387" s="3" t="s">
        <v>1558</v>
      </c>
      <c r="D1387">
        <v>571</v>
      </c>
    </row>
    <row r="1388" spans="3:4">
      <c r="C1388" s="3" t="s">
        <v>1559</v>
      </c>
      <c r="D1388">
        <v>54</v>
      </c>
    </row>
    <row r="1389" spans="3:4">
      <c r="C1389" s="3" t="s">
        <v>1560</v>
      </c>
      <c r="D1389">
        <v>661</v>
      </c>
    </row>
    <row r="1390" spans="3:4">
      <c r="C1390" s="3" t="s">
        <v>1561</v>
      </c>
      <c r="D1390">
        <v>73</v>
      </c>
    </row>
    <row r="1391" spans="3:4">
      <c r="C1391" s="3" t="s">
        <v>1562</v>
      </c>
      <c r="D1391">
        <v>251</v>
      </c>
    </row>
    <row r="1392" spans="3:4">
      <c r="C1392" s="3" t="s">
        <v>1563</v>
      </c>
      <c r="D1392">
        <v>295</v>
      </c>
    </row>
    <row r="1393" spans="3:4">
      <c r="C1393" s="3" t="s">
        <v>1564</v>
      </c>
      <c r="D1393">
        <v>605</v>
      </c>
    </row>
    <row r="1394" spans="3:4">
      <c r="C1394" s="3" t="s">
        <v>1565</v>
      </c>
      <c r="D1394">
        <v>631</v>
      </c>
    </row>
    <row r="1395" spans="3:4">
      <c r="C1395" s="3" t="s">
        <v>1566</v>
      </c>
      <c r="D1395">
        <v>405</v>
      </c>
    </row>
    <row r="1396" spans="3:4">
      <c r="C1396" s="3" t="s">
        <v>1567</v>
      </c>
      <c r="D1396">
        <v>510</v>
      </c>
    </row>
    <row r="1397" spans="3:4">
      <c r="C1397" s="3" t="s">
        <v>1568</v>
      </c>
      <c r="D1397">
        <v>9</v>
      </c>
    </row>
    <row r="1398" spans="3:4">
      <c r="C1398" s="3" t="s">
        <v>1569</v>
      </c>
      <c r="D1398">
        <v>130</v>
      </c>
    </row>
    <row r="1399" spans="3:4">
      <c r="C1399" s="3" t="s">
        <v>1570</v>
      </c>
      <c r="D1399">
        <v>461</v>
      </c>
    </row>
    <row r="1400" spans="3:4">
      <c r="C1400" s="3" t="s">
        <v>1571</v>
      </c>
      <c r="D1400">
        <v>59</v>
      </c>
    </row>
    <row r="1401" spans="3:4">
      <c r="C1401" s="3" t="s">
        <v>1572</v>
      </c>
      <c r="D1401">
        <v>490</v>
      </c>
    </row>
    <row r="1402" spans="3:4">
      <c r="C1402" s="3" t="s">
        <v>1573</v>
      </c>
      <c r="D1402">
        <v>287</v>
      </c>
    </row>
    <row r="1403" spans="3:4">
      <c r="C1403" s="3" t="s">
        <v>1574</v>
      </c>
      <c r="D1403">
        <v>98</v>
      </c>
    </row>
    <row r="1404" spans="3:4">
      <c r="C1404" s="3" t="s">
        <v>1575</v>
      </c>
      <c r="D1404">
        <v>640</v>
      </c>
    </row>
    <row r="1405" spans="3:4">
      <c r="C1405" s="3" t="s">
        <v>1576</v>
      </c>
      <c r="D1405">
        <v>278</v>
      </c>
    </row>
    <row r="1406" spans="3:4">
      <c r="C1406" s="3" t="s">
        <v>1577</v>
      </c>
      <c r="D1406">
        <v>95</v>
      </c>
    </row>
    <row r="1407" spans="3:4">
      <c r="C1407" s="3" t="s">
        <v>1578</v>
      </c>
      <c r="D1407">
        <v>222</v>
      </c>
    </row>
    <row r="1408" spans="3:4">
      <c r="C1408" s="3" t="s">
        <v>1579</v>
      </c>
      <c r="D1408">
        <v>156</v>
      </c>
    </row>
    <row r="1409" spans="3:4">
      <c r="C1409" s="3" t="s">
        <v>1580</v>
      </c>
      <c r="D1409">
        <v>123</v>
      </c>
    </row>
    <row r="1410" spans="3:4">
      <c r="C1410" s="3" t="s">
        <v>1581</v>
      </c>
      <c r="D1410">
        <v>388</v>
      </c>
    </row>
    <row r="1411" spans="3:4">
      <c r="C1411" s="3" t="s">
        <v>1582</v>
      </c>
      <c r="D1411">
        <v>344</v>
      </c>
    </row>
    <row r="1412" spans="3:4">
      <c r="C1412" s="3" t="s">
        <v>1583</v>
      </c>
      <c r="D1412">
        <v>262</v>
      </c>
    </row>
    <row r="1413" spans="3:4">
      <c r="C1413" s="3" t="s">
        <v>1584</v>
      </c>
      <c r="D1413">
        <v>526</v>
      </c>
    </row>
    <row r="1414" spans="3:4">
      <c r="C1414" s="3" t="s">
        <v>1585</v>
      </c>
      <c r="D1414">
        <v>651</v>
      </c>
    </row>
    <row r="1415" spans="3:4">
      <c r="C1415" s="3" t="s">
        <v>1586</v>
      </c>
      <c r="D1415">
        <v>624</v>
      </c>
    </row>
    <row r="1416" spans="3:4">
      <c r="C1416" s="3" t="s">
        <v>1587</v>
      </c>
      <c r="D1416">
        <v>220</v>
      </c>
    </row>
    <row r="1417" spans="3:4">
      <c r="C1417" s="3" t="s">
        <v>1588</v>
      </c>
      <c r="D1417">
        <v>463</v>
      </c>
    </row>
    <row r="1418" spans="3:4">
      <c r="C1418" s="3" t="s">
        <v>1589</v>
      </c>
      <c r="D1418">
        <v>184</v>
      </c>
    </row>
    <row r="1419" spans="3:4">
      <c r="C1419" s="3" t="s">
        <v>1590</v>
      </c>
      <c r="D1419">
        <v>121</v>
      </c>
    </row>
    <row r="1420" spans="3:4">
      <c r="C1420" s="3" t="s">
        <v>1591</v>
      </c>
      <c r="D1420">
        <v>38</v>
      </c>
    </row>
    <row r="1421" spans="3:4">
      <c r="C1421" s="3" t="s">
        <v>1592</v>
      </c>
      <c r="D1421">
        <v>582</v>
      </c>
    </row>
    <row r="1422" spans="3:4">
      <c r="C1422" s="3" t="s">
        <v>1593</v>
      </c>
      <c r="D1422">
        <v>158</v>
      </c>
    </row>
    <row r="1423" spans="3:4">
      <c r="C1423" s="3" t="s">
        <v>902</v>
      </c>
      <c r="D1423">
        <v>237705</v>
      </c>
    </row>
  </sheetData>
  <conditionalFormatting pivot="1" sqref="B10:B11">
    <cfRule type="colorScale" priority="2">
      <colorScale>
        <cfvo type="min"/>
        <cfvo type="percentile" val="50"/>
        <cfvo type="max"/>
        <color rgb="FFF8696B"/>
        <color rgb="FFFFEB84"/>
        <color rgb="FF63BE7B"/>
      </colorScale>
    </cfRule>
  </conditionalFormatting>
  <pageMargins left="0.7" right="0.7" top="0.75" bottom="0.75" header="0.3" footer="0.3"/>
  <drawing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3DCBF-FCDA-48CD-9BBB-BCA213F7F701}">
  <sheetPr>
    <tabColor theme="8" tint="0.79998168889431442"/>
  </sheetPr>
  <dimension ref="A1"/>
  <sheetViews>
    <sheetView showGridLines="0" showRowColHeaders="0" tabSelected="1" view="pageBreakPreview" topLeftCell="A12" zoomScale="55" zoomScaleNormal="50" zoomScaleSheetLayoutView="55" workbookViewId="0">
      <selection activeCell="AI19" sqref="AI19"/>
    </sheetView>
  </sheetViews>
  <sheetFormatPr defaultColWidth="8.7109375" defaultRowHeight="14.45"/>
  <cols>
    <col min="1" max="16384" width="8.7109375" style="13"/>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FF640-D71E-4A54-B1C7-6CE4D5BF69AD}">
  <dimension ref="A1"/>
  <sheetViews>
    <sheetView workbookViewId="0"/>
  </sheetViews>
  <sheetFormatPr defaultRowHeight="14.4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BB433-FA25-47B7-A345-F0B1E4CD0411}">
  <dimension ref="A1"/>
  <sheetViews>
    <sheetView workbookViewId="0"/>
  </sheetViews>
  <sheetFormatPr defaultRowHeight="14.4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156B4-B321-4E8D-833F-298A1964D166}">
  <dimension ref="A1"/>
  <sheetViews>
    <sheetView workbookViewId="0">
      <selection activeCell="H13" sqref="H13"/>
    </sheetView>
  </sheetViews>
  <sheetFormatPr defaultRowHeight="14.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DD759-2B93-43F2-9DA7-B7FBF56F79B3}">
  <dimension ref="A1"/>
  <sheetViews>
    <sheetView workbookViewId="0">
      <selection activeCell="K19" sqref="K19"/>
    </sheetView>
  </sheetViews>
  <sheetFormatPr defaultRowHeight="14.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7AC83-E591-46EE-9EE0-2DC819CBCA08}">
  <dimension ref="A1"/>
  <sheetViews>
    <sheetView workbookViewId="0">
      <selection activeCell="K13" sqref="K13"/>
    </sheetView>
  </sheetViews>
  <sheetFormatPr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9BD99EE1-BED9-48F3-83D8-9EE564C591BB}"/>
</file>

<file path=customXml/itemProps2.xml><?xml version="1.0" encoding="utf-8"?>
<ds:datastoreItem xmlns:ds="http://schemas.openxmlformats.org/officeDocument/2006/customXml" ds:itemID="{C62849A6-F34C-4980-84BF-D201DA36F5EC}"/>
</file>

<file path=customXml/itemProps3.xml><?xml version="1.0" encoding="utf-8"?>
<ds:datastoreItem xmlns:ds="http://schemas.openxmlformats.org/officeDocument/2006/customXml" ds:itemID="{EF1C6764-6D84-40D7-96D9-D5776BCD29FB}"/>
</file>

<file path=customXml/itemProps4.xml><?xml version="1.0" encoding="utf-8"?>
<ds:datastoreItem xmlns:ds="http://schemas.openxmlformats.org/officeDocument/2006/customXml" ds:itemID="{8DC0FD84-6C2A-4B6E-B861-C08206CF4990}"/>
</file>

<file path=customXml/itemProps5.xml><?xml version="1.0" encoding="utf-8"?>
<ds:datastoreItem xmlns:ds="http://schemas.openxmlformats.org/officeDocument/2006/customXml" ds:itemID="{3B477ADF-61FB-45DF-82CE-ABDD7023D234}"/>
</file>

<file path=customXml/itemProps6.xml><?xml version="1.0" encoding="utf-8"?>
<ds:datastoreItem xmlns:ds="http://schemas.openxmlformats.org/officeDocument/2006/customXml" ds:itemID="{0FD3C3C0-14F0-4FDD-88A1-ED683CB0934C}"/>
</file>

<file path=customXml/itemProps7.xml><?xml version="1.0" encoding="utf-8"?>
<ds:datastoreItem xmlns:ds="http://schemas.openxmlformats.org/officeDocument/2006/customXml" ds:itemID="{F37E9342-9156-4BA5-8C38-E81917E5844C}"/>
</file>

<file path=customXml/itemProps8.xml><?xml version="1.0" encoding="utf-8"?>
<ds:datastoreItem xmlns:ds="http://schemas.openxmlformats.org/officeDocument/2006/customXml" ds:itemID="{49700D47-67A6-45D4-BC7B-8D12D8962D5A}"/>
</file>

<file path=customXml/itemProps9.xml><?xml version="1.0" encoding="utf-8"?>
<ds:datastoreItem xmlns:ds="http://schemas.openxmlformats.org/officeDocument/2006/customXml" ds:itemID="{0FC88020-2EFE-4AF5-BA65-5952A6DCF8CA}"/>
</file>

<file path=customXml/itemProps10.xml><?xml version="1.0" encoding="utf-8"?>
<ds:datastoreItem xmlns:ds="http://schemas.openxmlformats.org/officeDocument/2006/customXml" ds:itemID="{B59DC0A6-5500-4A81-BF3D-69C84604369B}"/>
</file>

<file path=customXml/itemProps11.xml><?xml version="1.0" encoding="utf-8"?>
<ds:datastoreItem xmlns:ds="http://schemas.openxmlformats.org/officeDocument/2006/customXml" ds:itemID="{C156C98D-9D3B-4261-ABC8-916553D15535}"/>
</file>

<file path=customXml/itemProps12.xml><?xml version="1.0" encoding="utf-8"?>
<ds:datastoreItem xmlns:ds="http://schemas.openxmlformats.org/officeDocument/2006/customXml" ds:itemID="{ADDEBFC7-DC9F-45AC-91A8-E6F5CEA03434}"/>
</file>

<file path=customXml/itemProps13.xml><?xml version="1.0" encoding="utf-8"?>
<ds:datastoreItem xmlns:ds="http://schemas.openxmlformats.org/officeDocument/2006/customXml" ds:itemID="{E81F17CA-B3D5-4370-B0A4-8E45B8D241BA}"/>
</file>

<file path=customXml/itemProps14.xml><?xml version="1.0" encoding="utf-8"?>
<ds:datastoreItem xmlns:ds="http://schemas.openxmlformats.org/officeDocument/2006/customXml" ds:itemID="{7AC34BF1-D836-4F19-B8BD-0D9712341213}"/>
</file>

<file path=customXml/itemProps15.xml><?xml version="1.0" encoding="utf-8"?>
<ds:datastoreItem xmlns:ds="http://schemas.openxmlformats.org/officeDocument/2006/customXml" ds:itemID="{8FBC6451-D96B-443F-BE04-871D247B1268}"/>
</file>

<file path=customXml/itemProps16.xml><?xml version="1.0" encoding="utf-8"?>
<ds:datastoreItem xmlns:ds="http://schemas.openxmlformats.org/officeDocument/2006/customXml" ds:itemID="{6C9B5774-B5B2-411E-A7FD-29DADA4F096E}"/>
</file>

<file path=customXml/itemProps17.xml><?xml version="1.0" encoding="utf-8"?>
<ds:datastoreItem xmlns:ds="http://schemas.openxmlformats.org/officeDocument/2006/customXml" ds:itemID="{8EC31977-8895-4A19-B109-90DDA83892F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Youssif Samir Sayed Ahmed</dc:creator>
  <cp:keywords/>
  <dc:description/>
  <cp:lastModifiedBy>Youssif Samir Sayed Ahmed</cp:lastModifiedBy>
  <cp:revision/>
  <dcterms:created xsi:type="dcterms:W3CDTF">2026-08-04T16:58:30Z</dcterms:created>
  <dcterms:modified xsi:type="dcterms:W3CDTF">2026-09-25T09:35:52Z</dcterms:modified>
  <cp:category/>
  <cp:contentStatus/>
</cp:coreProperties>
</file>